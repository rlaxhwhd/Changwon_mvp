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년\0. 공통사항\10. 엔잡에서 기능 요청\새 폴더\"/>
    </mc:Choice>
  </mc:AlternateContent>
  <bookViews>
    <workbookView xWindow="0" yWindow="0" windowWidth="28800" windowHeight="13080" tabRatio="606"/>
  </bookViews>
  <sheets>
    <sheet name="Sheet3" sheetId="5" r:id="rId1"/>
    <sheet name="만족도" sheetId="1" r:id="rId2"/>
    <sheet name="역량향상률-사전" sheetId="3" r:id="rId3"/>
    <sheet name="역량향상률-사후" sheetId="4" r:id="rId4"/>
  </sheets>
  <definedNames>
    <definedName name="_xlnm._FilterDatabase" localSheetId="1" hidden="1">만족도!$A$3:$Z$32</definedName>
    <definedName name="_xlnm._FilterDatabase" localSheetId="2" hidden="1">'역량향상률-사전'!$A$3:$AB$437</definedName>
    <definedName name="_xlnm._FilterDatabase" localSheetId="3" hidden="1">'역량향상률-사후'!$A$3:$AB$437</definedName>
    <definedName name="_xlnm.Print_Area" localSheetId="1">만족도!$E$1:$Z$3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7" i="3" l="1"/>
  <c r="G437" i="3"/>
  <c r="AB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B437" i="4" s="1"/>
  <c r="AB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H32" i="1" l="1"/>
  <c r="X32" i="1"/>
  <c r="X5" i="1"/>
  <c r="X4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6" i="1" l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</calcChain>
</file>

<file path=xl/sharedStrings.xml><?xml version="1.0" encoding="utf-8"?>
<sst xmlns="http://schemas.openxmlformats.org/spreadsheetml/2006/main" count="425" uniqueCount="105">
  <si>
    <t>학과명</t>
    <phoneticPr fontId="1" type="noConversion"/>
  </si>
  <si>
    <t>학년</t>
    <phoneticPr fontId="1" type="noConversion"/>
  </si>
  <si>
    <t>성별</t>
    <phoneticPr fontId="1" type="noConversion"/>
  </si>
  <si>
    <t>연번</t>
    <phoneticPr fontId="1" type="noConversion"/>
  </si>
  <si>
    <t>프로그램명</t>
    <phoneticPr fontId="1" type="noConversion"/>
  </si>
  <si>
    <t>운영기간</t>
  </si>
  <si>
    <t>합산</t>
    <phoneticPr fontId="1" type="noConversion"/>
  </si>
  <si>
    <t>질문1</t>
    <phoneticPr fontId="1" type="noConversion"/>
  </si>
  <si>
    <t>질문2</t>
    <phoneticPr fontId="1" type="noConversion"/>
  </si>
  <si>
    <t>질문3</t>
    <phoneticPr fontId="1" type="noConversion"/>
  </si>
  <si>
    <t>질문4</t>
    <phoneticPr fontId="1" type="noConversion"/>
  </si>
  <si>
    <t>질문5</t>
    <phoneticPr fontId="1" type="noConversion"/>
  </si>
  <si>
    <t>질문6</t>
  </si>
  <si>
    <t>질문6</t>
    <phoneticPr fontId="1" type="noConversion"/>
  </si>
  <si>
    <t>질문7</t>
  </si>
  <si>
    <t>질문7</t>
    <phoneticPr fontId="1" type="noConversion"/>
  </si>
  <si>
    <t>질문8</t>
  </si>
  <si>
    <t>질문8</t>
    <phoneticPr fontId="1" type="noConversion"/>
  </si>
  <si>
    <t>질문9</t>
  </si>
  <si>
    <t>질문9</t>
    <phoneticPr fontId="1" type="noConversion"/>
  </si>
  <si>
    <t>질문10</t>
  </si>
  <si>
    <t>질문10</t>
    <phoneticPr fontId="1" type="noConversion"/>
  </si>
  <si>
    <t>질문11</t>
  </si>
  <si>
    <t>질문12</t>
  </si>
  <si>
    <t>질문13</t>
  </si>
  <si>
    <t>질문14</t>
  </si>
  <si>
    <t>질문15</t>
  </si>
  <si>
    <t>질문16</t>
  </si>
  <si>
    <t>질문17
(프로그램에서 가장 유익하거나 만족스러웠던 점)</t>
    <phoneticPr fontId="1" type="noConversion"/>
  </si>
  <si>
    <t>질문5
(향후 프로그램 발전을 위해 보완하거나 개선해야 할 점)</t>
    <phoneticPr fontId="1" type="noConversion"/>
  </si>
  <si>
    <t>2026.05.14~05.15</t>
    <phoneticPr fontId="1" type="noConversion"/>
  </si>
  <si>
    <t>기계공학부 기계공학전공</t>
  </si>
  <si>
    <t>남</t>
  </si>
  <si>
    <t>스마트제조융합</t>
  </si>
  <si>
    <t>재료금속공학과</t>
  </si>
  <si>
    <t>글로벌비즈니스학부</t>
  </si>
  <si>
    <t>여</t>
  </si>
  <si>
    <t>통계학과</t>
  </si>
  <si>
    <t>첨단바이오학부</t>
  </si>
  <si>
    <t>행정학과</t>
  </si>
  <si>
    <t xml:space="preserve">글로벌비지니스 경제학트랙 </t>
  </si>
  <si>
    <t>기계공학과</t>
  </si>
  <si>
    <t>전기공학과</t>
  </si>
  <si>
    <t>에너지기계공학과</t>
  </si>
  <si>
    <t>산업시스템공학과</t>
  </si>
  <si>
    <t>인문계열 자율전공학부</t>
  </si>
  <si>
    <t>기계공학부 스마트제조융합</t>
  </si>
  <si>
    <t>우주항공공학부</t>
  </si>
  <si>
    <t>공학융합학부</t>
  </si>
  <si>
    <t>첨단바이오학부 생명과학전공</t>
  </si>
  <si>
    <t>건설시스템공학과</t>
  </si>
  <si>
    <t>회계학과</t>
  </si>
  <si>
    <t>기계공학부 스마트제조융합전공</t>
  </si>
  <si>
    <t>이학융합학부</t>
  </si>
  <si>
    <t>사회계열자율전공학부</t>
  </si>
  <si>
    <t>FutureBase-진로 캠프</t>
    <phoneticPr fontId="1" type="noConversion"/>
  </si>
  <si>
    <t>평균(100점 환산)</t>
    <phoneticPr fontId="1" type="noConversion"/>
  </si>
  <si>
    <t>프로그램 명</t>
    <phoneticPr fontId="1" type="noConversion"/>
  </si>
  <si>
    <t>프로그램명 만족도 결과</t>
    <phoneticPr fontId="1" type="noConversion"/>
  </si>
  <si>
    <t>연번</t>
  </si>
  <si>
    <t>소속</t>
    <phoneticPr fontId="1" type="noConversion"/>
  </si>
  <si>
    <t>질문14</t>
    <phoneticPr fontId="1" type="noConversion"/>
  </si>
  <si>
    <t>질문15</t>
    <phoneticPr fontId="1" type="noConversion"/>
  </si>
  <si>
    <t>질문16</t>
    <phoneticPr fontId="1" type="noConversion"/>
  </si>
  <si>
    <t>질문17</t>
    <phoneticPr fontId="1" type="noConversion"/>
  </si>
  <si>
    <t>질문18</t>
    <phoneticPr fontId="1" type="noConversion"/>
  </si>
  <si>
    <t>질문19</t>
    <phoneticPr fontId="1" type="noConversion"/>
  </si>
  <si>
    <t>질문20</t>
    <phoneticPr fontId="1" type="noConversion"/>
  </si>
  <si>
    <t>질문21</t>
    <phoneticPr fontId="1" type="noConversion"/>
  </si>
  <si>
    <t>질문22</t>
    <phoneticPr fontId="1" type="noConversion"/>
  </si>
  <si>
    <t>글로컬첨단과학기술대학(GSAT)</t>
  </si>
  <si>
    <t>경영대학</t>
  </si>
  <si>
    <t>사회과학대학</t>
  </si>
  <si>
    <t>자연과학대학</t>
  </si>
  <si>
    <t>공과대학</t>
  </si>
  <si>
    <t>인문대학</t>
  </si>
  <si>
    <t>전체평균</t>
    <phoneticPr fontId="1" type="noConversion"/>
  </si>
  <si>
    <t>항목별평균</t>
    <phoneticPr fontId="1" type="noConversion"/>
  </si>
  <si>
    <t>진로</t>
    <phoneticPr fontId="1" type="noConversion"/>
  </si>
  <si>
    <t>프로그램명 - 사후 역량향상 조사 결과</t>
    <phoneticPr fontId="1" type="noConversion"/>
  </si>
  <si>
    <t>프로그램명 - 사전 역량향상 조사 결과</t>
    <phoneticPr fontId="1" type="noConversion"/>
  </si>
  <si>
    <t>만족도 조사 *</t>
    <phoneticPr fontId="1" type="noConversion"/>
  </si>
  <si>
    <t>진행의 경우 관리자모두에서 사전에 설정한 질문지 선택</t>
    <phoneticPr fontId="1" type="noConversion"/>
  </si>
  <si>
    <t>현재는 질문지가 1개지만, 관리자 모두에서 질문지 종류를 추가 등록 가능</t>
    <phoneticPr fontId="1" type="noConversion"/>
  </si>
  <si>
    <t>역량향상률 조사 *</t>
    <phoneticPr fontId="1" type="noConversion"/>
  </si>
  <si>
    <t>대분류</t>
    <phoneticPr fontId="1" type="noConversion"/>
  </si>
  <si>
    <t>직무</t>
    <phoneticPr fontId="1" type="noConversion"/>
  </si>
  <si>
    <t>취업</t>
    <phoneticPr fontId="1" type="noConversion"/>
  </si>
  <si>
    <t>중분류</t>
    <phoneticPr fontId="1" type="noConversion"/>
  </si>
  <si>
    <t>설문지(한글 참고)</t>
  </si>
  <si>
    <t>1~5개 영역(총 23개 항목)으로 있고, 설문조사 할 영역만 중복체크</t>
    <phoneticPr fontId="1" type="noConversion"/>
  </si>
  <si>
    <t>1~5개 영역(총 21개 항목)으로 있고, 설문조사 할 영역만 중복체크</t>
    <phoneticPr fontId="1" type="noConversion"/>
  </si>
  <si>
    <t xml:space="preserve"> 드롭 다운 희망</t>
    <phoneticPr fontId="1" type="noConversion"/>
  </si>
  <si>
    <r>
      <t xml:space="preserve">1. </t>
    </r>
    <r>
      <rPr>
        <b/>
        <sz val="16"/>
        <color theme="1"/>
        <rFont val="맑은 고딕"/>
        <family val="3"/>
        <charset val="129"/>
        <scheme val="minor"/>
      </rPr>
      <t>담당자가 볼수 있는 화면</t>
    </r>
    <r>
      <rPr>
        <b/>
        <sz val="16"/>
        <color theme="1"/>
        <rFont val="Calibri"/>
        <family val="2"/>
      </rPr>
      <t>(</t>
    </r>
    <r>
      <rPr>
        <b/>
        <sz val="16"/>
        <color theme="1"/>
        <rFont val="맑은 고딕"/>
        <family val="3"/>
        <charset val="129"/>
        <scheme val="minor"/>
      </rPr>
      <t>설문조사 결과</t>
    </r>
    <r>
      <rPr>
        <b/>
        <sz val="16"/>
        <color theme="1"/>
        <rFont val="Calibri"/>
        <family val="2"/>
      </rPr>
      <t>)</t>
    </r>
  </si>
  <si>
    <t>학생별 설문조사 유무 o/x로 확인 가능</t>
    <phoneticPr fontId="1" type="noConversion"/>
  </si>
  <si>
    <t>실시</t>
    <phoneticPr fontId="1" type="noConversion"/>
  </si>
  <si>
    <t>미실시</t>
    <phoneticPr fontId="1" type="noConversion"/>
  </si>
  <si>
    <r>
      <t xml:space="preserve"> </t>
    </r>
    <r>
      <rPr>
        <sz val="11"/>
        <color theme="1"/>
        <rFont val="굴림"/>
        <family val="3"/>
        <charset val="129"/>
      </rPr>
      <t>□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실시</t>
    </r>
    <phoneticPr fontId="1" type="noConversion"/>
  </si>
  <si>
    <t xml:space="preserve"> □ 미실시</t>
    <phoneticPr fontId="1" type="noConversion"/>
  </si>
  <si>
    <t>통계값 반영 유무</t>
    <phoneticPr fontId="1" type="noConversion"/>
  </si>
  <si>
    <r>
      <t xml:space="preserve"> </t>
    </r>
    <r>
      <rPr>
        <sz val="11"/>
        <color theme="1"/>
        <rFont val="굴림"/>
        <family val="3"/>
        <charset val="129"/>
      </rPr>
      <t>□</t>
    </r>
    <r>
      <rPr>
        <sz val="11"/>
        <color theme="1"/>
        <rFont val="맑은 고딕"/>
        <family val="2"/>
        <charset val="129"/>
      </rPr>
      <t xml:space="preserve"> 포함</t>
    </r>
    <phoneticPr fontId="1" type="noConversion"/>
  </si>
  <si>
    <t xml:space="preserve"> □ 미포함</t>
    <phoneticPr fontId="1" type="noConversion"/>
  </si>
  <si>
    <r>
      <t xml:space="preserve">1~5개 영역(총 22개 항목)으로 있고, </t>
    </r>
    <r>
      <rPr>
        <sz val="12"/>
        <color theme="1"/>
        <rFont val="맑은 고딕"/>
        <family val="3"/>
        <charset val="129"/>
        <scheme val="minor"/>
      </rPr>
      <t>설문조사 할 항목만 중복체크</t>
    </r>
    <phoneticPr fontId="1" type="noConversion"/>
  </si>
  <si>
    <t xml:space="preserve"> 체크에 따라 해당 영역 질문지만 활성화되고 조사됨</t>
    <phoneticPr fontId="1" type="noConversion"/>
  </si>
  <si>
    <t>통계값에 미포함을 체크하면, 이 프로그램은 통계 요청(5번)  참가/수료인원에 포함되지 않음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</si>
</sst>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"/>
    <numFmt numFmtId="178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1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Calibri"/>
      <family val="2"/>
    </font>
    <font>
      <b/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1"/>
      <color theme="1"/>
      <name val="맑은 고딕"/>
      <family val="2"/>
      <charset val="129"/>
    </font>
    <font>
      <sz val="11"/>
      <color rgb="FF0000FF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77" fontId="4" fillId="3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6" borderId="0" xfId="0" applyNumberFormat="1" applyFill="1">
      <alignment vertical="center"/>
    </xf>
    <xf numFmtId="178" fontId="0" fillId="0" borderId="1" xfId="0" applyNumberFormat="1" applyBorder="1" applyAlignment="1">
      <alignment horizontal="center" vertical="center"/>
    </xf>
    <xf numFmtId="176" fontId="4" fillId="6" borderId="0" xfId="0" applyNumberFormat="1" applyFont="1" applyFill="1">
      <alignment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190499</xdr:rowOff>
    </xdr:from>
    <xdr:to>
      <xdr:col>15</xdr:col>
      <xdr:colOff>200025</xdr:colOff>
      <xdr:row>26</xdr:row>
      <xdr:rowOff>28574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09599"/>
          <a:ext cx="10372725" cy="4867275"/>
        </a:xfrm>
        <a:prstGeom prst="rect">
          <a:avLst/>
        </a:prstGeom>
      </xdr:spPr>
    </xdr:pic>
    <xdr:clientData/>
  </xdr:twoCellAnchor>
  <xdr:twoCellAnchor>
    <xdr:from>
      <xdr:col>5</xdr:col>
      <xdr:colOff>570758</xdr:colOff>
      <xdr:row>8</xdr:row>
      <xdr:rowOff>168217</xdr:rowOff>
    </xdr:from>
    <xdr:to>
      <xdr:col>7</xdr:col>
      <xdr:colOff>625286</xdr:colOff>
      <xdr:row>10</xdr:row>
      <xdr:rowOff>118232</xdr:rowOff>
    </xdr:to>
    <xdr:sp macro="" textlink="">
      <xdr:nvSpPr>
        <xdr:cNvPr id="3" name="직사각형 2"/>
        <xdr:cNvSpPr/>
      </xdr:nvSpPr>
      <xdr:spPr>
        <a:xfrm>
          <a:off x="3999758" y="1844617"/>
          <a:ext cx="1426128" cy="3691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만족도 조사</a:t>
          </a:r>
        </a:p>
      </xdr:txBody>
    </xdr:sp>
    <xdr:clientData/>
  </xdr:twoCellAnchor>
  <xdr:twoCellAnchor>
    <xdr:from>
      <xdr:col>8</xdr:col>
      <xdr:colOff>25911</xdr:colOff>
      <xdr:row>8</xdr:row>
      <xdr:rowOff>149166</xdr:rowOff>
    </xdr:from>
    <xdr:to>
      <xdr:col>10</xdr:col>
      <xdr:colOff>80439</xdr:colOff>
      <xdr:row>10</xdr:row>
      <xdr:rowOff>99181</xdr:rowOff>
    </xdr:to>
    <xdr:sp macro="" textlink="">
      <xdr:nvSpPr>
        <xdr:cNvPr id="4" name="직사각형 3"/>
        <xdr:cNvSpPr/>
      </xdr:nvSpPr>
      <xdr:spPr>
        <a:xfrm>
          <a:off x="5512311" y="1825566"/>
          <a:ext cx="1426128" cy="3691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향상도 조사</a:t>
          </a:r>
        </a:p>
      </xdr:txBody>
    </xdr:sp>
    <xdr:clientData/>
  </xdr:twoCellAnchor>
  <xdr:twoCellAnchor>
    <xdr:from>
      <xdr:col>1</xdr:col>
      <xdr:colOff>115960</xdr:colOff>
      <xdr:row>29</xdr:row>
      <xdr:rowOff>0</xdr:rowOff>
    </xdr:from>
    <xdr:to>
      <xdr:col>13</xdr:col>
      <xdr:colOff>552449</xdr:colOff>
      <xdr:row>55</xdr:row>
      <xdr:rowOff>158601</xdr:rowOff>
    </xdr:to>
    <xdr:grpSp>
      <xdr:nvGrpSpPr>
        <xdr:cNvPr id="12" name="그룹 11"/>
        <xdr:cNvGrpSpPr/>
      </xdr:nvGrpSpPr>
      <xdr:grpSpPr>
        <a:xfrm>
          <a:off x="801760" y="6200775"/>
          <a:ext cx="8666089" cy="5730726"/>
          <a:chOff x="1859035" y="6200775"/>
          <a:chExt cx="8666089" cy="5606901"/>
        </a:xfrm>
      </xdr:grpSpPr>
      <xdr:pic>
        <xdr:nvPicPr>
          <xdr:cNvPr id="5" name="그림 4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59035" y="6200775"/>
            <a:ext cx="7575259" cy="5422344"/>
          </a:xfrm>
          <a:prstGeom prst="rect">
            <a:avLst/>
          </a:prstGeom>
        </xdr:spPr>
      </xdr:pic>
      <xdr:pic>
        <xdr:nvPicPr>
          <xdr:cNvPr id="6" name="table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990609" y="8608157"/>
            <a:ext cx="1534515" cy="2768600"/>
          </a:xfrm>
          <a:prstGeom prst="rect">
            <a:avLst/>
          </a:prstGeom>
        </xdr:spPr>
      </xdr:pic>
      <xdr:sp macro="" textlink="">
        <xdr:nvSpPr>
          <xdr:cNvPr id="8" name="직사각형 7"/>
          <xdr:cNvSpPr/>
        </xdr:nvSpPr>
        <xdr:spPr>
          <a:xfrm>
            <a:off x="5652867" y="11438561"/>
            <a:ext cx="4872257" cy="36911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/>
              <a:t>만족도 평균</a:t>
            </a:r>
            <a:r>
              <a:rPr lang="en-US" altLang="ko-KR"/>
              <a:t>:    90</a:t>
            </a:r>
            <a:r>
              <a:rPr lang="ko-KR" altLang="en-US"/>
              <a:t>점</a:t>
            </a:r>
            <a:r>
              <a:rPr lang="en-US" altLang="ko-KR"/>
              <a:t>,  </a:t>
            </a:r>
            <a:r>
              <a:rPr lang="ko-KR" altLang="en-US"/>
              <a:t>향상도</a:t>
            </a:r>
            <a:r>
              <a:rPr lang="en-US" altLang="ko-KR"/>
              <a:t>:  %</a:t>
            </a:r>
            <a:r>
              <a:rPr lang="ko-KR" altLang="en-US"/>
              <a:t> </a:t>
            </a:r>
          </a:p>
        </xdr:txBody>
      </xdr:sp>
    </xdr:grpSp>
    <xdr:clientData/>
  </xdr:twoCellAnchor>
  <xdr:twoCellAnchor>
    <xdr:from>
      <xdr:col>17</xdr:col>
      <xdr:colOff>104775</xdr:colOff>
      <xdr:row>53</xdr:row>
      <xdr:rowOff>66675</xdr:rowOff>
    </xdr:from>
    <xdr:to>
      <xdr:col>25</xdr:col>
      <xdr:colOff>19049</xdr:colOff>
      <xdr:row>55</xdr:row>
      <xdr:rowOff>16907</xdr:rowOff>
    </xdr:to>
    <xdr:sp macro="" textlink="">
      <xdr:nvSpPr>
        <xdr:cNvPr id="9" name="TextBox 12"/>
        <xdr:cNvSpPr txBox="1"/>
      </xdr:nvSpPr>
      <xdr:spPr>
        <a:xfrm>
          <a:off x="11344275" y="11172825"/>
          <a:ext cx="5400674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향상도 서식</a:t>
          </a:r>
          <a:r>
            <a:rPr lang="en-US" altLang="ko-KR"/>
            <a:t>: (</a:t>
          </a:r>
          <a:r>
            <a:rPr lang="ko-KR" altLang="en-US"/>
            <a:t>사후 평균</a:t>
          </a:r>
          <a:r>
            <a:rPr lang="en-US" altLang="ko-KR"/>
            <a:t>-</a:t>
          </a:r>
          <a:r>
            <a:rPr lang="ko-KR" altLang="en-US"/>
            <a:t>사전 평균</a:t>
          </a:r>
          <a:r>
            <a:rPr lang="en-US" altLang="ko-KR"/>
            <a:t>)/</a:t>
          </a:r>
          <a:r>
            <a:rPr lang="ko-KR" altLang="en-US"/>
            <a:t>사전 평균</a:t>
          </a:r>
          <a:r>
            <a:rPr lang="en-US" altLang="ko-KR"/>
            <a:t>X100</a:t>
          </a:r>
          <a:endParaRPr lang="ko-KR" altLang="en-US"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7</xdr:col>
      <xdr:colOff>400050</xdr:colOff>
      <xdr:row>59</xdr:row>
      <xdr:rowOff>72317</xdr:rowOff>
    </xdr:to>
    <xdr:sp macro="" textlink="">
      <xdr:nvSpPr>
        <xdr:cNvPr id="10" name="TextBox 8"/>
        <xdr:cNvSpPr txBox="1"/>
      </xdr:nvSpPr>
      <xdr:spPr>
        <a:xfrm>
          <a:off x="0" y="12192000"/>
          <a:ext cx="5200650" cy="4914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2. </a:t>
          </a:r>
          <a:r>
            <a:rPr lang="ko-KR" altLang="en-US"/>
            <a:t>담당자 프로그램 개설때</a:t>
          </a:r>
          <a:r>
            <a:rPr lang="en-US" altLang="ko-KR"/>
            <a:t>, </a:t>
          </a:r>
          <a:r>
            <a:rPr lang="ko-KR" altLang="en-US"/>
            <a:t>진행할 설문조사 선택</a:t>
          </a:r>
        </a:p>
      </xdr:txBody>
    </xdr:sp>
    <xdr:clientData/>
  </xdr:twoCellAnchor>
  <xdr:twoCellAnchor editAs="oneCell">
    <xdr:from>
      <xdr:col>0</xdr:col>
      <xdr:colOff>152400</xdr:colOff>
      <xdr:row>59</xdr:row>
      <xdr:rowOff>133350</xdr:rowOff>
    </xdr:from>
    <xdr:to>
      <xdr:col>12</xdr:col>
      <xdr:colOff>141848</xdr:colOff>
      <xdr:row>97</xdr:row>
      <xdr:rowOff>103783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12496800"/>
          <a:ext cx="8219048" cy="7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2"/>
  <sheetViews>
    <sheetView tabSelected="1" workbookViewId="0">
      <selection activeCell="H2" sqref="H2"/>
    </sheetView>
  </sheetViews>
  <sheetFormatPr defaultRowHeight="16.5" x14ac:dyDescent="0.3"/>
  <cols>
    <col min="17" max="17" width="3.5" customWidth="1"/>
  </cols>
  <sheetData>
    <row r="2" spans="1:1" ht="26.25" x14ac:dyDescent="0.3">
      <c r="A2" s="47" t="s">
        <v>93</v>
      </c>
    </row>
    <row r="44" spans="18:18" ht="26.25" x14ac:dyDescent="0.3">
      <c r="R44" s="48" t="s">
        <v>94</v>
      </c>
    </row>
    <row r="100" spans="2:8" x14ac:dyDescent="0.3">
      <c r="B100" t="s">
        <v>81</v>
      </c>
      <c r="D100" s="9" t="s">
        <v>97</v>
      </c>
      <c r="E100" s="9" t="s">
        <v>98</v>
      </c>
      <c r="H100" t="s">
        <v>82</v>
      </c>
    </row>
    <row r="101" spans="2:8" x14ac:dyDescent="0.3">
      <c r="H101" t="s">
        <v>83</v>
      </c>
    </row>
    <row r="102" spans="2:8" x14ac:dyDescent="0.3">
      <c r="B102" t="s">
        <v>84</v>
      </c>
      <c r="D102" s="9" t="s">
        <v>85</v>
      </c>
      <c r="E102" s="9" t="s">
        <v>88</v>
      </c>
      <c r="F102" s="40" t="s">
        <v>89</v>
      </c>
    </row>
    <row r="103" spans="2:8" ht="17.25" x14ac:dyDescent="0.3">
      <c r="D103" s="41" t="s">
        <v>95</v>
      </c>
      <c r="E103" s="9" t="s">
        <v>78</v>
      </c>
      <c r="F103" t="s">
        <v>102</v>
      </c>
    </row>
    <row r="104" spans="2:8" ht="17.25" x14ac:dyDescent="0.3">
      <c r="B104" s="49" t="s">
        <v>92</v>
      </c>
      <c r="D104" s="42"/>
      <c r="E104" s="9"/>
      <c r="F104" s="50" t="s">
        <v>103</v>
      </c>
    </row>
    <row r="105" spans="2:8" x14ac:dyDescent="0.3">
      <c r="D105" s="42"/>
      <c r="E105" s="9" t="s">
        <v>86</v>
      </c>
      <c r="F105" t="s">
        <v>90</v>
      </c>
    </row>
    <row r="106" spans="2:8" x14ac:dyDescent="0.3">
      <c r="D106" s="42"/>
      <c r="E106" s="9"/>
      <c r="F106" s="50" t="s">
        <v>103</v>
      </c>
    </row>
    <row r="107" spans="2:8" x14ac:dyDescent="0.3">
      <c r="D107" s="42"/>
      <c r="E107" s="9" t="s">
        <v>87</v>
      </c>
      <c r="F107" t="s">
        <v>91</v>
      </c>
    </row>
    <row r="108" spans="2:8" x14ac:dyDescent="0.3">
      <c r="D108" s="43"/>
      <c r="E108" s="9"/>
      <c r="F108" s="50" t="s">
        <v>103</v>
      </c>
    </row>
    <row r="109" spans="2:8" x14ac:dyDescent="0.3">
      <c r="D109" s="9" t="s">
        <v>96</v>
      </c>
      <c r="E109" s="9"/>
    </row>
    <row r="112" spans="2:8" x14ac:dyDescent="0.3">
      <c r="B112" t="s">
        <v>99</v>
      </c>
      <c r="D112" s="9" t="s">
        <v>100</v>
      </c>
      <c r="E112" s="9" t="s">
        <v>101</v>
      </c>
      <c r="G112" s="51" t="s">
        <v>104</v>
      </c>
    </row>
  </sheetData>
  <mergeCells count="1">
    <mergeCell ref="D103:D108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33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39" sqref="C39"/>
    </sheetView>
  </sheetViews>
  <sheetFormatPr defaultRowHeight="16.5" x14ac:dyDescent="0.3"/>
  <cols>
    <col min="1" max="1" width="2.125" customWidth="1"/>
    <col min="2" max="2" width="7.875" style="1" customWidth="1"/>
    <col min="3" max="3" width="34.625" style="6" customWidth="1"/>
    <col min="4" max="4" width="18.875" style="6" bestFit="1" customWidth="1"/>
    <col min="5" max="5" width="22.875" style="1" customWidth="1"/>
    <col min="6" max="6" width="6.625" customWidth="1"/>
    <col min="7" max="7" width="6.375" customWidth="1"/>
    <col min="8" max="23" width="5.625" customWidth="1"/>
    <col min="24" max="24" width="10.625" customWidth="1"/>
    <col min="25" max="25" width="86.25" style="2" customWidth="1"/>
    <col min="26" max="26" width="86.5" style="2" bestFit="1" customWidth="1"/>
  </cols>
  <sheetData>
    <row r="1" spans="2:26" ht="36" customHeight="1" x14ac:dyDescent="0.3">
      <c r="B1" s="44" t="s">
        <v>58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2:26" ht="15" customHeight="1" x14ac:dyDescent="0.3"/>
    <row r="3" spans="2:26" ht="54" customHeight="1" x14ac:dyDescent="0.3">
      <c r="B3" s="5" t="s">
        <v>3</v>
      </c>
      <c r="C3" s="7" t="s">
        <v>4</v>
      </c>
      <c r="D3" s="7" t="s">
        <v>5</v>
      </c>
      <c r="E3" s="5" t="s">
        <v>0</v>
      </c>
      <c r="F3" s="5" t="s">
        <v>1</v>
      </c>
      <c r="G3" s="5" t="s">
        <v>2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13</v>
      </c>
      <c r="N3" s="3" t="s">
        <v>15</v>
      </c>
      <c r="O3" s="3" t="s">
        <v>17</v>
      </c>
      <c r="P3" s="3" t="s">
        <v>19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6</v>
      </c>
      <c r="Y3" s="3" t="s">
        <v>28</v>
      </c>
      <c r="Z3" s="3" t="s">
        <v>29</v>
      </c>
    </row>
    <row r="4" spans="2:26" x14ac:dyDescent="0.3">
      <c r="B4" s="4">
        <v>1</v>
      </c>
      <c r="C4" s="4" t="s">
        <v>57</v>
      </c>
      <c r="D4" s="8" t="s">
        <v>30</v>
      </c>
      <c r="E4" s="12" t="s">
        <v>31</v>
      </c>
      <c r="F4" s="12">
        <v>2</v>
      </c>
      <c r="G4" s="12" t="s">
        <v>32</v>
      </c>
      <c r="H4" s="13">
        <v>5</v>
      </c>
      <c r="I4" s="12">
        <v>5</v>
      </c>
      <c r="J4" s="12">
        <v>5</v>
      </c>
      <c r="K4" s="12">
        <v>5</v>
      </c>
      <c r="L4" s="12">
        <v>5</v>
      </c>
      <c r="M4" s="12">
        <v>5</v>
      </c>
      <c r="N4" s="12">
        <v>5</v>
      </c>
      <c r="O4" s="12">
        <v>5</v>
      </c>
      <c r="P4" s="12">
        <v>5</v>
      </c>
      <c r="Q4" s="12">
        <v>5</v>
      </c>
      <c r="R4" s="12">
        <v>5</v>
      </c>
      <c r="S4" s="12">
        <v>5</v>
      </c>
      <c r="T4" s="12">
        <v>5</v>
      </c>
      <c r="U4" s="12">
        <v>5</v>
      </c>
      <c r="V4" s="12">
        <v>5</v>
      </c>
      <c r="W4" s="12">
        <v>5</v>
      </c>
      <c r="X4" s="4">
        <f>SUM(H4:W4)</f>
        <v>80</v>
      </c>
      <c r="Y4" s="14"/>
      <c r="Z4" s="14"/>
    </row>
    <row r="5" spans="2:26" x14ac:dyDescent="0.3">
      <c r="B5" s="4">
        <v>2</v>
      </c>
      <c r="C5" s="4" t="s">
        <v>57</v>
      </c>
      <c r="D5" s="8" t="s">
        <v>30</v>
      </c>
      <c r="E5" s="12" t="s">
        <v>33</v>
      </c>
      <c r="F5" s="12">
        <v>1</v>
      </c>
      <c r="G5" s="12" t="s">
        <v>32</v>
      </c>
      <c r="H5" s="12">
        <v>5</v>
      </c>
      <c r="I5" s="12">
        <v>5</v>
      </c>
      <c r="J5" s="12">
        <v>5</v>
      </c>
      <c r="K5" s="12">
        <v>5</v>
      </c>
      <c r="L5" s="12">
        <v>5</v>
      </c>
      <c r="M5" s="12">
        <v>5</v>
      </c>
      <c r="N5" s="12">
        <v>5</v>
      </c>
      <c r="O5" s="12">
        <v>5</v>
      </c>
      <c r="P5" s="12">
        <v>5</v>
      </c>
      <c r="Q5" s="12">
        <v>5</v>
      </c>
      <c r="R5" s="12">
        <v>5</v>
      </c>
      <c r="S5" s="12">
        <v>5</v>
      </c>
      <c r="T5" s="12">
        <v>5</v>
      </c>
      <c r="U5" s="12">
        <v>5</v>
      </c>
      <c r="V5" s="12">
        <v>5</v>
      </c>
      <c r="W5" s="12">
        <v>5</v>
      </c>
      <c r="X5" s="4">
        <f>SUM(H5:W5)</f>
        <v>80</v>
      </c>
      <c r="Y5" s="15"/>
      <c r="Z5" s="15"/>
    </row>
    <row r="6" spans="2:26" x14ac:dyDescent="0.3">
      <c r="B6" s="4">
        <v>3</v>
      </c>
      <c r="C6" s="4" t="s">
        <v>57</v>
      </c>
      <c r="D6" s="8" t="s">
        <v>30</v>
      </c>
      <c r="E6" s="12" t="s">
        <v>34</v>
      </c>
      <c r="F6" s="12">
        <v>1</v>
      </c>
      <c r="G6" s="12" t="s">
        <v>32</v>
      </c>
      <c r="H6" s="12">
        <v>5</v>
      </c>
      <c r="I6" s="12">
        <v>5</v>
      </c>
      <c r="J6" s="12">
        <v>5</v>
      </c>
      <c r="K6" s="12">
        <v>5</v>
      </c>
      <c r="L6" s="12">
        <v>5</v>
      </c>
      <c r="M6" s="12">
        <v>5</v>
      </c>
      <c r="N6" s="12">
        <v>5</v>
      </c>
      <c r="O6" s="12">
        <v>5</v>
      </c>
      <c r="P6" s="12">
        <v>5</v>
      </c>
      <c r="Q6" s="12">
        <v>5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  <c r="X6" s="4">
        <f t="shared" ref="X6:X31" si="0">SUM(H6:W6)</f>
        <v>80</v>
      </c>
      <c r="Y6" s="14"/>
      <c r="Z6" s="14"/>
    </row>
    <row r="7" spans="2:26" ht="21" customHeight="1" x14ac:dyDescent="0.3">
      <c r="B7" s="4">
        <v>4</v>
      </c>
      <c r="C7" s="4" t="s">
        <v>57</v>
      </c>
      <c r="D7" s="8" t="s">
        <v>30</v>
      </c>
      <c r="E7" s="12" t="s">
        <v>35</v>
      </c>
      <c r="F7" s="12">
        <v>1</v>
      </c>
      <c r="G7" s="12" t="s">
        <v>36</v>
      </c>
      <c r="H7" s="12">
        <v>5</v>
      </c>
      <c r="I7" s="12">
        <v>5</v>
      </c>
      <c r="J7" s="12">
        <v>5</v>
      </c>
      <c r="K7" s="12">
        <v>5</v>
      </c>
      <c r="L7" s="12">
        <v>5</v>
      </c>
      <c r="M7" s="12">
        <v>5</v>
      </c>
      <c r="N7" s="12">
        <v>5</v>
      </c>
      <c r="O7" s="12">
        <v>5</v>
      </c>
      <c r="P7" s="12">
        <v>5</v>
      </c>
      <c r="Q7" s="12">
        <v>5</v>
      </c>
      <c r="R7" s="12">
        <v>5</v>
      </c>
      <c r="S7" s="12">
        <v>5</v>
      </c>
      <c r="T7" s="12">
        <v>5</v>
      </c>
      <c r="U7" s="12">
        <v>5</v>
      </c>
      <c r="V7" s="12">
        <v>5</v>
      </c>
      <c r="W7" s="12">
        <v>5</v>
      </c>
      <c r="X7" s="4">
        <f t="shared" si="0"/>
        <v>80</v>
      </c>
      <c r="Y7" s="15"/>
      <c r="Z7" s="15"/>
    </row>
    <row r="8" spans="2:26" x14ac:dyDescent="0.3">
      <c r="B8" s="4">
        <v>5</v>
      </c>
      <c r="C8" s="4" t="s">
        <v>57</v>
      </c>
      <c r="D8" s="8" t="s">
        <v>30</v>
      </c>
      <c r="E8" s="12" t="s">
        <v>37</v>
      </c>
      <c r="F8" s="12">
        <v>1</v>
      </c>
      <c r="G8" s="12" t="s">
        <v>36</v>
      </c>
      <c r="H8" s="13">
        <v>4</v>
      </c>
      <c r="I8" s="12">
        <v>4</v>
      </c>
      <c r="J8" s="12">
        <v>4</v>
      </c>
      <c r="K8" s="12">
        <v>4</v>
      </c>
      <c r="L8" s="12">
        <v>4</v>
      </c>
      <c r="M8" s="12">
        <v>4</v>
      </c>
      <c r="N8" s="12">
        <v>5</v>
      </c>
      <c r="O8" s="12">
        <v>3</v>
      </c>
      <c r="P8" s="12">
        <v>4</v>
      </c>
      <c r="Q8" s="12">
        <v>4</v>
      </c>
      <c r="R8" s="12">
        <v>4</v>
      </c>
      <c r="S8" s="12">
        <v>4</v>
      </c>
      <c r="T8" s="12">
        <v>4</v>
      </c>
      <c r="U8" s="12">
        <v>4</v>
      </c>
      <c r="V8" s="12">
        <v>4</v>
      </c>
      <c r="W8" s="12">
        <v>4</v>
      </c>
      <c r="X8" s="4">
        <f t="shared" si="0"/>
        <v>64</v>
      </c>
      <c r="Y8" s="14"/>
      <c r="Z8" s="14"/>
    </row>
    <row r="9" spans="2:26" x14ac:dyDescent="0.3">
      <c r="B9" s="4">
        <v>6</v>
      </c>
      <c r="C9" s="4" t="s">
        <v>57</v>
      </c>
      <c r="D9" s="8" t="s">
        <v>30</v>
      </c>
      <c r="E9" s="12" t="s">
        <v>38</v>
      </c>
      <c r="F9" s="12">
        <v>2</v>
      </c>
      <c r="G9" s="12" t="s">
        <v>36</v>
      </c>
      <c r="H9" s="12">
        <v>5</v>
      </c>
      <c r="I9" s="12">
        <v>5</v>
      </c>
      <c r="J9" s="12">
        <v>5</v>
      </c>
      <c r="K9" s="12">
        <v>5</v>
      </c>
      <c r="L9" s="12">
        <v>5</v>
      </c>
      <c r="M9" s="12">
        <v>5</v>
      </c>
      <c r="N9" s="12">
        <v>5</v>
      </c>
      <c r="O9" s="12">
        <v>5</v>
      </c>
      <c r="P9" s="12">
        <v>5</v>
      </c>
      <c r="Q9" s="12">
        <v>5</v>
      </c>
      <c r="R9" s="12">
        <v>5</v>
      </c>
      <c r="S9" s="12">
        <v>5</v>
      </c>
      <c r="T9" s="12">
        <v>5</v>
      </c>
      <c r="U9" s="12">
        <v>5</v>
      </c>
      <c r="V9" s="12">
        <v>5</v>
      </c>
      <c r="W9" s="12">
        <v>5</v>
      </c>
      <c r="X9" s="4">
        <f t="shared" si="0"/>
        <v>80</v>
      </c>
      <c r="Y9" s="15"/>
      <c r="Z9" s="18"/>
    </row>
    <row r="10" spans="2:26" x14ac:dyDescent="0.3">
      <c r="B10" s="4">
        <v>7</v>
      </c>
      <c r="C10" s="4" t="s">
        <v>57</v>
      </c>
      <c r="D10" s="8" t="s">
        <v>30</v>
      </c>
      <c r="E10" s="12" t="s">
        <v>39</v>
      </c>
      <c r="F10" s="12">
        <v>2</v>
      </c>
      <c r="G10" s="12" t="s">
        <v>36</v>
      </c>
      <c r="H10" s="12">
        <v>5</v>
      </c>
      <c r="I10" s="12">
        <v>5</v>
      </c>
      <c r="J10" s="12">
        <v>5</v>
      </c>
      <c r="K10" s="12">
        <v>5</v>
      </c>
      <c r="L10" s="12">
        <v>5</v>
      </c>
      <c r="M10" s="12">
        <v>5</v>
      </c>
      <c r="N10" s="12">
        <v>5</v>
      </c>
      <c r="O10" s="12">
        <v>5</v>
      </c>
      <c r="P10" s="12">
        <v>4</v>
      </c>
      <c r="Q10" s="12">
        <v>5</v>
      </c>
      <c r="R10" s="12">
        <v>5</v>
      </c>
      <c r="S10" s="12">
        <v>5</v>
      </c>
      <c r="T10" s="12">
        <v>5</v>
      </c>
      <c r="U10" s="12">
        <v>5</v>
      </c>
      <c r="V10" s="12">
        <v>5</v>
      </c>
      <c r="W10" s="12">
        <v>5</v>
      </c>
      <c r="X10" s="4">
        <f t="shared" si="0"/>
        <v>79</v>
      </c>
      <c r="Y10" s="14"/>
      <c r="Z10" s="14"/>
    </row>
    <row r="11" spans="2:26" x14ac:dyDescent="0.3">
      <c r="B11" s="4">
        <v>8</v>
      </c>
      <c r="C11" s="4" t="s">
        <v>57</v>
      </c>
      <c r="D11" s="8" t="s">
        <v>30</v>
      </c>
      <c r="E11" s="12" t="s">
        <v>40</v>
      </c>
      <c r="F11" s="12">
        <v>1</v>
      </c>
      <c r="G11" s="12" t="s">
        <v>36</v>
      </c>
      <c r="H11" s="12">
        <v>4</v>
      </c>
      <c r="I11" s="12">
        <v>4</v>
      </c>
      <c r="J11" s="12">
        <v>4</v>
      </c>
      <c r="K11" s="12">
        <v>4</v>
      </c>
      <c r="L11" s="12">
        <v>4</v>
      </c>
      <c r="M11" s="12">
        <v>4</v>
      </c>
      <c r="N11" s="12">
        <v>4</v>
      </c>
      <c r="O11" s="12">
        <v>4</v>
      </c>
      <c r="P11" s="12">
        <v>4</v>
      </c>
      <c r="Q11" s="12">
        <v>4</v>
      </c>
      <c r="R11" s="12">
        <v>4</v>
      </c>
      <c r="S11" s="12">
        <v>4</v>
      </c>
      <c r="T11" s="12">
        <v>4</v>
      </c>
      <c r="U11" s="12">
        <v>4</v>
      </c>
      <c r="V11" s="12">
        <v>4</v>
      </c>
      <c r="W11" s="12">
        <v>4</v>
      </c>
      <c r="X11" s="4">
        <f t="shared" si="0"/>
        <v>64</v>
      </c>
      <c r="Y11" s="15"/>
      <c r="Z11" s="15"/>
    </row>
    <row r="12" spans="2:26" x14ac:dyDescent="0.3">
      <c r="B12" s="4">
        <v>9</v>
      </c>
      <c r="C12" s="4" t="s">
        <v>57</v>
      </c>
      <c r="D12" s="8" t="s">
        <v>30</v>
      </c>
      <c r="E12" s="12" t="s">
        <v>37</v>
      </c>
      <c r="F12" s="12">
        <v>1</v>
      </c>
      <c r="G12" s="12" t="s">
        <v>36</v>
      </c>
      <c r="H12" s="12">
        <v>5</v>
      </c>
      <c r="I12" s="12">
        <v>5</v>
      </c>
      <c r="J12" s="12">
        <v>5</v>
      </c>
      <c r="K12" s="12">
        <v>5</v>
      </c>
      <c r="L12" s="12">
        <v>5</v>
      </c>
      <c r="M12" s="12">
        <v>5</v>
      </c>
      <c r="N12" s="12">
        <v>5</v>
      </c>
      <c r="O12" s="12">
        <v>5</v>
      </c>
      <c r="P12" s="12">
        <v>5</v>
      </c>
      <c r="Q12" s="12">
        <v>5</v>
      </c>
      <c r="R12" s="12">
        <v>5</v>
      </c>
      <c r="S12" s="12">
        <v>5</v>
      </c>
      <c r="T12" s="12">
        <v>5</v>
      </c>
      <c r="U12" s="12">
        <v>5</v>
      </c>
      <c r="V12" s="12">
        <v>5</v>
      </c>
      <c r="W12" s="12">
        <v>5</v>
      </c>
      <c r="X12" s="4">
        <f t="shared" si="0"/>
        <v>80</v>
      </c>
      <c r="Y12" s="16"/>
      <c r="Z12" s="17"/>
    </row>
    <row r="13" spans="2:26" ht="17.25" customHeight="1" x14ac:dyDescent="0.3">
      <c r="B13" s="4">
        <v>10</v>
      </c>
      <c r="C13" s="4" t="s">
        <v>57</v>
      </c>
      <c r="D13" s="8" t="s">
        <v>30</v>
      </c>
      <c r="E13" s="12" t="s">
        <v>41</v>
      </c>
      <c r="F13" s="12">
        <v>2</v>
      </c>
      <c r="G13" s="12" t="s">
        <v>32</v>
      </c>
      <c r="H13" s="12">
        <v>5</v>
      </c>
      <c r="I13" s="12">
        <v>5</v>
      </c>
      <c r="J13" s="12">
        <v>5</v>
      </c>
      <c r="K13" s="12">
        <v>5</v>
      </c>
      <c r="L13" s="12">
        <v>5</v>
      </c>
      <c r="M13" s="12">
        <v>5</v>
      </c>
      <c r="N13" s="12">
        <v>5</v>
      </c>
      <c r="O13" s="12">
        <v>5</v>
      </c>
      <c r="P13" s="12">
        <v>5</v>
      </c>
      <c r="Q13" s="12">
        <v>5</v>
      </c>
      <c r="R13" s="12">
        <v>5</v>
      </c>
      <c r="S13" s="12">
        <v>5</v>
      </c>
      <c r="T13" s="12">
        <v>5</v>
      </c>
      <c r="U13" s="12">
        <v>5</v>
      </c>
      <c r="V13" s="12">
        <v>5</v>
      </c>
      <c r="W13" s="12">
        <v>5</v>
      </c>
      <c r="X13" s="4">
        <f t="shared" si="0"/>
        <v>80</v>
      </c>
      <c r="Y13" s="16"/>
      <c r="Z13" s="16"/>
    </row>
    <row r="14" spans="2:26" x14ac:dyDescent="0.3">
      <c r="B14" s="4">
        <v>11</v>
      </c>
      <c r="C14" s="4" t="s">
        <v>57</v>
      </c>
      <c r="D14" s="8" t="s">
        <v>30</v>
      </c>
      <c r="E14" s="12" t="s">
        <v>42</v>
      </c>
      <c r="F14" s="12">
        <v>2</v>
      </c>
      <c r="G14" s="12" t="s">
        <v>32</v>
      </c>
      <c r="H14" s="12">
        <v>4</v>
      </c>
      <c r="I14" s="12">
        <v>4</v>
      </c>
      <c r="J14" s="12">
        <v>4</v>
      </c>
      <c r="K14" s="12">
        <v>4</v>
      </c>
      <c r="L14" s="12">
        <v>5</v>
      </c>
      <c r="M14" s="12">
        <v>5</v>
      </c>
      <c r="N14" s="12">
        <v>4</v>
      </c>
      <c r="O14" s="12">
        <v>5</v>
      </c>
      <c r="P14" s="12">
        <v>4</v>
      </c>
      <c r="Q14" s="12">
        <v>4</v>
      </c>
      <c r="R14" s="12">
        <v>4</v>
      </c>
      <c r="S14" s="12">
        <v>4</v>
      </c>
      <c r="T14" s="12">
        <v>4</v>
      </c>
      <c r="U14" s="12">
        <v>4</v>
      </c>
      <c r="V14" s="12">
        <v>4</v>
      </c>
      <c r="W14" s="12">
        <v>4</v>
      </c>
      <c r="X14" s="4">
        <f t="shared" si="0"/>
        <v>67</v>
      </c>
      <c r="Y14" s="16"/>
      <c r="Z14" s="16"/>
    </row>
    <row r="15" spans="2:26" x14ac:dyDescent="0.3">
      <c r="B15" s="4">
        <v>12</v>
      </c>
      <c r="C15" s="4" t="s">
        <v>57</v>
      </c>
      <c r="D15" s="8" t="s">
        <v>30</v>
      </c>
      <c r="E15" s="12" t="s">
        <v>43</v>
      </c>
      <c r="F15" s="12">
        <v>2</v>
      </c>
      <c r="G15" s="12" t="s">
        <v>32</v>
      </c>
      <c r="H15" s="12">
        <v>4</v>
      </c>
      <c r="I15" s="12">
        <v>5</v>
      </c>
      <c r="J15" s="12">
        <v>5</v>
      </c>
      <c r="K15" s="12">
        <v>5</v>
      </c>
      <c r="L15" s="12">
        <v>5</v>
      </c>
      <c r="M15" s="12">
        <v>5</v>
      </c>
      <c r="N15" s="12">
        <v>5</v>
      </c>
      <c r="O15" s="12">
        <v>5</v>
      </c>
      <c r="P15" s="12">
        <v>5</v>
      </c>
      <c r="Q15" s="12">
        <v>5</v>
      </c>
      <c r="R15" s="12">
        <v>5</v>
      </c>
      <c r="S15" s="12">
        <v>5</v>
      </c>
      <c r="T15" s="12">
        <v>5</v>
      </c>
      <c r="U15" s="12">
        <v>5</v>
      </c>
      <c r="V15" s="12">
        <v>5</v>
      </c>
      <c r="W15" s="12">
        <v>5</v>
      </c>
      <c r="X15" s="4">
        <f t="shared" si="0"/>
        <v>79</v>
      </c>
      <c r="Y15" s="16"/>
      <c r="Z15" s="16"/>
    </row>
    <row r="16" spans="2:26" x14ac:dyDescent="0.3">
      <c r="B16" s="4">
        <v>13</v>
      </c>
      <c r="C16" s="4" t="s">
        <v>57</v>
      </c>
      <c r="D16" s="8" t="s">
        <v>30</v>
      </c>
      <c r="E16" s="12" t="s">
        <v>33</v>
      </c>
      <c r="F16" s="12">
        <v>1</v>
      </c>
      <c r="G16" s="12" t="s">
        <v>32</v>
      </c>
      <c r="H16" s="12">
        <v>4</v>
      </c>
      <c r="I16" s="12">
        <v>4</v>
      </c>
      <c r="J16" s="12">
        <v>4</v>
      </c>
      <c r="K16" s="12">
        <v>3</v>
      </c>
      <c r="L16" s="12">
        <v>4</v>
      </c>
      <c r="M16" s="12">
        <v>4</v>
      </c>
      <c r="N16" s="12">
        <v>4</v>
      </c>
      <c r="O16" s="12">
        <v>4</v>
      </c>
      <c r="P16" s="12">
        <v>4</v>
      </c>
      <c r="Q16" s="12">
        <v>4</v>
      </c>
      <c r="R16" s="12">
        <v>4</v>
      </c>
      <c r="S16" s="12">
        <v>3</v>
      </c>
      <c r="T16" s="12">
        <v>4</v>
      </c>
      <c r="U16" s="12">
        <v>4</v>
      </c>
      <c r="V16" s="12">
        <v>4</v>
      </c>
      <c r="W16" s="12">
        <v>4</v>
      </c>
      <c r="X16" s="4">
        <f t="shared" si="0"/>
        <v>62</v>
      </c>
      <c r="Y16" s="16"/>
      <c r="Z16" s="16"/>
    </row>
    <row r="17" spans="2:26" x14ac:dyDescent="0.3">
      <c r="B17" s="4">
        <v>14</v>
      </c>
      <c r="C17" s="4" t="s">
        <v>57</v>
      </c>
      <c r="D17" s="8" t="s">
        <v>30</v>
      </c>
      <c r="E17" s="12" t="s">
        <v>44</v>
      </c>
      <c r="F17" s="12">
        <v>2</v>
      </c>
      <c r="G17" s="12" t="s">
        <v>32</v>
      </c>
      <c r="H17" s="12">
        <v>5</v>
      </c>
      <c r="I17" s="12">
        <v>5</v>
      </c>
      <c r="J17" s="12">
        <v>5</v>
      </c>
      <c r="K17" s="12">
        <v>5</v>
      </c>
      <c r="L17" s="12">
        <v>5</v>
      </c>
      <c r="M17" s="12">
        <v>5</v>
      </c>
      <c r="N17" s="12">
        <v>5</v>
      </c>
      <c r="O17" s="12">
        <v>5</v>
      </c>
      <c r="P17" s="12">
        <v>5</v>
      </c>
      <c r="Q17" s="12">
        <v>5</v>
      </c>
      <c r="R17" s="12">
        <v>5</v>
      </c>
      <c r="S17" s="12">
        <v>5</v>
      </c>
      <c r="T17" s="12">
        <v>5</v>
      </c>
      <c r="U17" s="12">
        <v>5</v>
      </c>
      <c r="V17" s="12">
        <v>5</v>
      </c>
      <c r="W17" s="12">
        <v>5</v>
      </c>
      <c r="X17" s="4">
        <f t="shared" si="0"/>
        <v>80</v>
      </c>
      <c r="Y17" s="16"/>
      <c r="Z17" s="16"/>
    </row>
    <row r="18" spans="2:26" x14ac:dyDescent="0.3">
      <c r="B18" s="4">
        <v>15</v>
      </c>
      <c r="C18" s="4" t="s">
        <v>57</v>
      </c>
      <c r="D18" s="8" t="s">
        <v>30</v>
      </c>
      <c r="E18" s="12" t="s">
        <v>45</v>
      </c>
      <c r="F18" s="12">
        <v>1</v>
      </c>
      <c r="G18" s="12" t="s">
        <v>36</v>
      </c>
      <c r="H18" s="12">
        <v>5</v>
      </c>
      <c r="I18" s="12">
        <v>5</v>
      </c>
      <c r="J18" s="12">
        <v>5</v>
      </c>
      <c r="K18" s="12">
        <v>5</v>
      </c>
      <c r="L18" s="12">
        <v>5</v>
      </c>
      <c r="M18" s="12">
        <v>5</v>
      </c>
      <c r="N18" s="12">
        <v>5</v>
      </c>
      <c r="O18" s="12">
        <v>5</v>
      </c>
      <c r="P18" s="12">
        <v>5</v>
      </c>
      <c r="Q18" s="12">
        <v>5</v>
      </c>
      <c r="R18" s="12">
        <v>5</v>
      </c>
      <c r="S18" s="12">
        <v>5</v>
      </c>
      <c r="T18" s="12">
        <v>5</v>
      </c>
      <c r="U18" s="12">
        <v>5</v>
      </c>
      <c r="V18" s="12">
        <v>5</v>
      </c>
      <c r="W18" s="12">
        <v>5</v>
      </c>
      <c r="X18" s="4">
        <f t="shared" si="0"/>
        <v>80</v>
      </c>
      <c r="Y18" s="16"/>
      <c r="Z18" s="18"/>
    </row>
    <row r="19" spans="2:26" x14ac:dyDescent="0.3">
      <c r="B19" s="4">
        <v>16</v>
      </c>
      <c r="C19" s="4" t="s">
        <v>57</v>
      </c>
      <c r="D19" s="8" t="s">
        <v>30</v>
      </c>
      <c r="E19" s="12" t="s">
        <v>37</v>
      </c>
      <c r="F19" s="12">
        <v>1</v>
      </c>
      <c r="G19" s="12" t="s">
        <v>36</v>
      </c>
      <c r="H19" s="12">
        <v>5</v>
      </c>
      <c r="I19" s="12">
        <v>5</v>
      </c>
      <c r="J19" s="12">
        <v>5</v>
      </c>
      <c r="K19" s="12">
        <v>5</v>
      </c>
      <c r="L19" s="12">
        <v>5</v>
      </c>
      <c r="M19" s="12">
        <v>5</v>
      </c>
      <c r="N19" s="12">
        <v>5</v>
      </c>
      <c r="O19" s="12">
        <v>5</v>
      </c>
      <c r="P19" s="12">
        <v>5</v>
      </c>
      <c r="Q19" s="12">
        <v>5</v>
      </c>
      <c r="R19" s="12">
        <v>5</v>
      </c>
      <c r="S19" s="12">
        <v>5</v>
      </c>
      <c r="T19" s="12">
        <v>5</v>
      </c>
      <c r="U19" s="12">
        <v>5</v>
      </c>
      <c r="V19" s="12">
        <v>5</v>
      </c>
      <c r="W19" s="12">
        <v>5</v>
      </c>
      <c r="X19" s="4">
        <f t="shared" si="0"/>
        <v>80</v>
      </c>
      <c r="Y19" s="16"/>
      <c r="Z19" s="19"/>
    </row>
    <row r="20" spans="2:26" x14ac:dyDescent="0.3">
      <c r="B20" s="4">
        <v>17</v>
      </c>
      <c r="C20" s="4" t="s">
        <v>57</v>
      </c>
      <c r="D20" s="8" t="s">
        <v>30</v>
      </c>
      <c r="E20" s="12" t="s">
        <v>46</v>
      </c>
      <c r="F20" s="12">
        <v>1</v>
      </c>
      <c r="G20" s="12" t="s">
        <v>32</v>
      </c>
      <c r="H20" s="12">
        <v>5</v>
      </c>
      <c r="I20" s="12">
        <v>5</v>
      </c>
      <c r="J20" s="12">
        <v>5</v>
      </c>
      <c r="K20" s="12">
        <v>5</v>
      </c>
      <c r="L20" s="12">
        <v>5</v>
      </c>
      <c r="M20" s="12">
        <v>5</v>
      </c>
      <c r="N20" s="12">
        <v>5</v>
      </c>
      <c r="O20" s="12">
        <v>5</v>
      </c>
      <c r="P20" s="12">
        <v>5</v>
      </c>
      <c r="Q20" s="12">
        <v>5</v>
      </c>
      <c r="R20" s="12">
        <v>5</v>
      </c>
      <c r="S20" s="12">
        <v>5</v>
      </c>
      <c r="T20" s="12">
        <v>5</v>
      </c>
      <c r="U20" s="12">
        <v>5</v>
      </c>
      <c r="V20" s="12">
        <v>5</v>
      </c>
      <c r="W20" s="12">
        <v>5</v>
      </c>
      <c r="X20" s="4">
        <f t="shared" si="0"/>
        <v>80</v>
      </c>
      <c r="Y20" s="14"/>
      <c r="Z20" s="14"/>
    </row>
    <row r="21" spans="2:26" x14ac:dyDescent="0.3">
      <c r="B21" s="4">
        <v>18</v>
      </c>
      <c r="C21" s="4" t="s">
        <v>57</v>
      </c>
      <c r="D21" s="8" t="s">
        <v>30</v>
      </c>
      <c r="E21" s="12" t="s">
        <v>47</v>
      </c>
      <c r="F21" s="12">
        <v>1</v>
      </c>
      <c r="G21" s="12" t="s">
        <v>32</v>
      </c>
      <c r="H21" s="12">
        <v>5</v>
      </c>
      <c r="I21" s="12">
        <v>5</v>
      </c>
      <c r="J21" s="12">
        <v>5</v>
      </c>
      <c r="K21" s="12">
        <v>5</v>
      </c>
      <c r="L21" s="12">
        <v>5</v>
      </c>
      <c r="M21" s="12">
        <v>5</v>
      </c>
      <c r="N21" s="12">
        <v>5</v>
      </c>
      <c r="O21" s="12">
        <v>5</v>
      </c>
      <c r="P21" s="12">
        <v>5</v>
      </c>
      <c r="Q21" s="12">
        <v>5</v>
      </c>
      <c r="R21" s="12">
        <v>5</v>
      </c>
      <c r="S21" s="12">
        <v>5</v>
      </c>
      <c r="T21" s="12">
        <v>4</v>
      </c>
      <c r="U21" s="12">
        <v>4</v>
      </c>
      <c r="V21" s="12">
        <v>4</v>
      </c>
      <c r="W21" s="12">
        <v>4</v>
      </c>
      <c r="X21" s="4">
        <f t="shared" si="0"/>
        <v>76</v>
      </c>
      <c r="Y21" s="15"/>
      <c r="Z21" s="15"/>
    </row>
    <row r="22" spans="2:26" x14ac:dyDescent="0.3">
      <c r="B22" s="4">
        <v>19</v>
      </c>
      <c r="C22" s="4" t="s">
        <v>57</v>
      </c>
      <c r="D22" s="8" t="s">
        <v>30</v>
      </c>
      <c r="E22" s="12" t="s">
        <v>48</v>
      </c>
      <c r="F22" s="12">
        <v>1</v>
      </c>
      <c r="G22" s="12" t="s">
        <v>32</v>
      </c>
      <c r="H22" s="12">
        <v>5</v>
      </c>
      <c r="I22" s="12">
        <v>5</v>
      </c>
      <c r="J22" s="12">
        <v>5</v>
      </c>
      <c r="K22" s="12">
        <v>5</v>
      </c>
      <c r="L22" s="12">
        <v>5</v>
      </c>
      <c r="M22" s="12">
        <v>5</v>
      </c>
      <c r="N22" s="12">
        <v>5</v>
      </c>
      <c r="O22" s="12">
        <v>5</v>
      </c>
      <c r="P22" s="12">
        <v>5</v>
      </c>
      <c r="Q22" s="12">
        <v>5</v>
      </c>
      <c r="R22" s="12">
        <v>5</v>
      </c>
      <c r="S22" s="12">
        <v>4</v>
      </c>
      <c r="T22" s="12">
        <v>5</v>
      </c>
      <c r="U22" s="12">
        <v>5</v>
      </c>
      <c r="V22" s="12">
        <v>5</v>
      </c>
      <c r="W22" s="12">
        <v>5</v>
      </c>
      <c r="X22" s="4">
        <f t="shared" si="0"/>
        <v>79</v>
      </c>
      <c r="Y22" s="14"/>
      <c r="Z22" s="15"/>
    </row>
    <row r="23" spans="2:26" x14ac:dyDescent="0.3">
      <c r="B23" s="4">
        <v>20</v>
      </c>
      <c r="C23" s="4" t="s">
        <v>57</v>
      </c>
      <c r="D23" s="8" t="s">
        <v>30</v>
      </c>
      <c r="E23" s="12" t="s">
        <v>39</v>
      </c>
      <c r="F23" s="12">
        <v>2</v>
      </c>
      <c r="G23" s="12" t="s">
        <v>36</v>
      </c>
      <c r="H23" s="12">
        <v>5</v>
      </c>
      <c r="I23" s="12">
        <v>4</v>
      </c>
      <c r="J23" s="12">
        <v>5</v>
      </c>
      <c r="K23" s="12">
        <v>4</v>
      </c>
      <c r="L23" s="12">
        <v>4</v>
      </c>
      <c r="M23" s="12">
        <v>5</v>
      </c>
      <c r="N23" s="12">
        <v>3</v>
      </c>
      <c r="O23" s="12">
        <v>5</v>
      </c>
      <c r="P23" s="12">
        <v>5</v>
      </c>
      <c r="Q23" s="12">
        <v>5</v>
      </c>
      <c r="R23" s="12">
        <v>5</v>
      </c>
      <c r="S23" s="12">
        <v>5</v>
      </c>
      <c r="T23" s="12">
        <v>4</v>
      </c>
      <c r="U23" s="12">
        <v>5</v>
      </c>
      <c r="V23" s="12">
        <v>5</v>
      </c>
      <c r="W23" s="12">
        <v>5</v>
      </c>
      <c r="X23" s="4">
        <f t="shared" si="0"/>
        <v>74</v>
      </c>
      <c r="Y23" s="15"/>
      <c r="Z23" s="15"/>
    </row>
    <row r="24" spans="2:26" x14ac:dyDescent="0.3">
      <c r="B24" s="4">
        <v>21</v>
      </c>
      <c r="C24" s="4" t="s">
        <v>57</v>
      </c>
      <c r="D24" s="8" t="s">
        <v>30</v>
      </c>
      <c r="E24" s="12" t="s">
        <v>49</v>
      </c>
      <c r="F24" s="12">
        <v>2</v>
      </c>
      <c r="G24" s="12" t="s">
        <v>36</v>
      </c>
      <c r="H24" s="12">
        <v>5</v>
      </c>
      <c r="I24" s="12">
        <v>4</v>
      </c>
      <c r="J24" s="12">
        <v>4</v>
      </c>
      <c r="K24" s="12">
        <v>4</v>
      </c>
      <c r="L24" s="12">
        <v>5</v>
      </c>
      <c r="M24" s="12">
        <v>5</v>
      </c>
      <c r="N24" s="12">
        <v>5</v>
      </c>
      <c r="O24" s="12">
        <v>5</v>
      </c>
      <c r="P24" s="12">
        <v>4</v>
      </c>
      <c r="Q24" s="12">
        <v>4</v>
      </c>
      <c r="R24" s="12">
        <v>5</v>
      </c>
      <c r="S24" s="12">
        <v>3</v>
      </c>
      <c r="T24" s="12">
        <v>4</v>
      </c>
      <c r="U24" s="12">
        <v>4</v>
      </c>
      <c r="V24" s="12">
        <v>4</v>
      </c>
      <c r="W24" s="12">
        <v>5</v>
      </c>
      <c r="X24" s="4">
        <f t="shared" si="0"/>
        <v>70</v>
      </c>
      <c r="Y24" s="14"/>
      <c r="Z24" s="14"/>
    </row>
    <row r="25" spans="2:26" x14ac:dyDescent="0.3">
      <c r="B25" s="4">
        <v>22</v>
      </c>
      <c r="C25" s="4" t="s">
        <v>57</v>
      </c>
      <c r="D25" s="8" t="s">
        <v>30</v>
      </c>
      <c r="E25" s="12" t="s">
        <v>50</v>
      </c>
      <c r="F25" s="12">
        <v>1</v>
      </c>
      <c r="G25" s="12" t="s">
        <v>32</v>
      </c>
      <c r="H25" s="12">
        <v>5</v>
      </c>
      <c r="I25" s="12">
        <v>5</v>
      </c>
      <c r="J25" s="12">
        <v>3</v>
      </c>
      <c r="K25" s="12">
        <v>5</v>
      </c>
      <c r="L25" s="12">
        <v>5</v>
      </c>
      <c r="M25" s="12">
        <v>5</v>
      </c>
      <c r="N25" s="12">
        <v>5</v>
      </c>
      <c r="O25" s="12">
        <v>4</v>
      </c>
      <c r="P25" s="12">
        <v>5</v>
      </c>
      <c r="Q25" s="12">
        <v>5</v>
      </c>
      <c r="R25" s="12">
        <v>4</v>
      </c>
      <c r="S25" s="12">
        <v>3</v>
      </c>
      <c r="T25" s="12">
        <v>5</v>
      </c>
      <c r="U25" s="12">
        <v>5</v>
      </c>
      <c r="V25" s="12">
        <v>4</v>
      </c>
      <c r="W25" s="12">
        <v>4</v>
      </c>
      <c r="X25" s="4">
        <f t="shared" si="0"/>
        <v>72</v>
      </c>
      <c r="Y25" s="15"/>
      <c r="Z25" s="20"/>
    </row>
    <row r="26" spans="2:26" x14ac:dyDescent="0.3">
      <c r="B26" s="4">
        <v>23</v>
      </c>
      <c r="C26" s="4" t="s">
        <v>57</v>
      </c>
      <c r="D26" s="8" t="s">
        <v>30</v>
      </c>
      <c r="E26" s="12" t="s">
        <v>51</v>
      </c>
      <c r="F26" s="12">
        <v>2</v>
      </c>
      <c r="G26" s="12" t="s">
        <v>32</v>
      </c>
      <c r="H26" s="12">
        <v>5</v>
      </c>
      <c r="I26" s="12">
        <v>5</v>
      </c>
      <c r="J26" s="12">
        <v>5</v>
      </c>
      <c r="K26" s="12">
        <v>5</v>
      </c>
      <c r="L26" s="12">
        <v>5</v>
      </c>
      <c r="M26" s="12">
        <v>5</v>
      </c>
      <c r="N26" s="12">
        <v>5</v>
      </c>
      <c r="O26" s="12">
        <v>5</v>
      </c>
      <c r="P26" s="12">
        <v>5</v>
      </c>
      <c r="Q26" s="12">
        <v>5</v>
      </c>
      <c r="R26" s="12">
        <v>5</v>
      </c>
      <c r="S26" s="12">
        <v>5</v>
      </c>
      <c r="T26" s="12">
        <v>5</v>
      </c>
      <c r="U26" s="12">
        <v>5</v>
      </c>
      <c r="V26" s="12">
        <v>5</v>
      </c>
      <c r="W26" s="12">
        <v>5</v>
      </c>
      <c r="X26" s="4">
        <f t="shared" si="0"/>
        <v>80</v>
      </c>
      <c r="Y26" s="14"/>
      <c r="Z26" s="14"/>
    </row>
    <row r="27" spans="2:26" x14ac:dyDescent="0.3">
      <c r="B27" s="4">
        <v>24</v>
      </c>
      <c r="C27" s="4" t="s">
        <v>57</v>
      </c>
      <c r="D27" s="8" t="s">
        <v>30</v>
      </c>
      <c r="E27" s="12" t="s">
        <v>34</v>
      </c>
      <c r="F27" s="12">
        <v>1</v>
      </c>
      <c r="G27" s="12" t="s">
        <v>36</v>
      </c>
      <c r="H27" s="12">
        <v>5</v>
      </c>
      <c r="I27" s="12">
        <v>5</v>
      </c>
      <c r="J27" s="12">
        <v>5</v>
      </c>
      <c r="K27" s="12">
        <v>5</v>
      </c>
      <c r="L27" s="12">
        <v>5</v>
      </c>
      <c r="M27" s="12">
        <v>5</v>
      </c>
      <c r="N27" s="12">
        <v>4</v>
      </c>
      <c r="O27" s="12">
        <v>5</v>
      </c>
      <c r="P27" s="12">
        <v>5</v>
      </c>
      <c r="Q27" s="12">
        <v>5</v>
      </c>
      <c r="R27" s="12">
        <v>5</v>
      </c>
      <c r="S27" s="12">
        <v>5</v>
      </c>
      <c r="T27" s="12">
        <v>5</v>
      </c>
      <c r="U27" s="12">
        <v>5</v>
      </c>
      <c r="V27" s="12">
        <v>5</v>
      </c>
      <c r="W27" s="12">
        <v>5</v>
      </c>
      <c r="X27" s="4">
        <f t="shared" si="0"/>
        <v>79</v>
      </c>
      <c r="Y27" s="15"/>
      <c r="Z27" s="15"/>
    </row>
    <row r="28" spans="2:26" x14ac:dyDescent="0.3">
      <c r="B28" s="4">
        <v>25</v>
      </c>
      <c r="C28" s="4" t="s">
        <v>57</v>
      </c>
      <c r="D28" s="8" t="s">
        <v>30</v>
      </c>
      <c r="E28" s="12" t="s">
        <v>52</v>
      </c>
      <c r="F28" s="12">
        <v>1</v>
      </c>
      <c r="G28" s="12" t="s">
        <v>32</v>
      </c>
      <c r="H28" s="12">
        <v>5</v>
      </c>
      <c r="I28" s="12">
        <v>5</v>
      </c>
      <c r="J28" s="12">
        <v>5</v>
      </c>
      <c r="K28" s="12">
        <v>5</v>
      </c>
      <c r="L28" s="12">
        <v>5</v>
      </c>
      <c r="M28" s="12">
        <v>4</v>
      </c>
      <c r="N28" s="12">
        <v>5</v>
      </c>
      <c r="O28" s="12">
        <v>5</v>
      </c>
      <c r="P28" s="12">
        <v>5</v>
      </c>
      <c r="Q28" s="12">
        <v>5</v>
      </c>
      <c r="R28" s="12">
        <v>5</v>
      </c>
      <c r="S28" s="12">
        <v>5</v>
      </c>
      <c r="T28" s="12">
        <v>5</v>
      </c>
      <c r="U28" s="12">
        <v>5</v>
      </c>
      <c r="V28" s="12">
        <v>5</v>
      </c>
      <c r="W28" s="12">
        <v>5</v>
      </c>
      <c r="X28" s="4">
        <f t="shared" si="0"/>
        <v>79</v>
      </c>
      <c r="Y28" s="14"/>
      <c r="Z28" s="14"/>
    </row>
    <row r="29" spans="2:26" x14ac:dyDescent="0.3">
      <c r="B29" s="4">
        <v>26</v>
      </c>
      <c r="C29" s="4" t="s">
        <v>57</v>
      </c>
      <c r="D29" s="8" t="s">
        <v>30</v>
      </c>
      <c r="E29" s="12" t="s">
        <v>53</v>
      </c>
      <c r="F29" s="12">
        <v>1</v>
      </c>
      <c r="G29" s="12" t="s">
        <v>36</v>
      </c>
      <c r="H29" s="12">
        <v>5</v>
      </c>
      <c r="I29" s="12">
        <v>5</v>
      </c>
      <c r="J29" s="12">
        <v>5</v>
      </c>
      <c r="K29" s="12">
        <v>5</v>
      </c>
      <c r="L29" s="12">
        <v>5</v>
      </c>
      <c r="M29" s="12">
        <v>5</v>
      </c>
      <c r="N29" s="12">
        <v>5</v>
      </c>
      <c r="O29" s="12">
        <v>5</v>
      </c>
      <c r="P29" s="12">
        <v>5</v>
      </c>
      <c r="Q29" s="12">
        <v>5</v>
      </c>
      <c r="R29" s="12">
        <v>5</v>
      </c>
      <c r="S29" s="12">
        <v>5</v>
      </c>
      <c r="T29" s="12">
        <v>5</v>
      </c>
      <c r="U29" s="12">
        <v>5</v>
      </c>
      <c r="V29" s="12">
        <v>5</v>
      </c>
      <c r="W29" s="12">
        <v>5</v>
      </c>
      <c r="X29" s="4">
        <f t="shared" si="0"/>
        <v>80</v>
      </c>
      <c r="Y29" s="15"/>
      <c r="Z29" s="15"/>
    </row>
    <row r="30" spans="2:26" x14ac:dyDescent="0.3">
      <c r="B30" s="4">
        <v>27</v>
      </c>
      <c r="C30" s="4" t="s">
        <v>57</v>
      </c>
      <c r="D30" s="8" t="s">
        <v>30</v>
      </c>
      <c r="E30" s="12" t="s">
        <v>54</v>
      </c>
      <c r="F30" s="12">
        <v>1</v>
      </c>
      <c r="G30" s="12" t="s">
        <v>36</v>
      </c>
      <c r="H30" s="12">
        <v>5</v>
      </c>
      <c r="I30" s="12">
        <v>5</v>
      </c>
      <c r="J30" s="12">
        <v>5</v>
      </c>
      <c r="K30" s="12">
        <v>5</v>
      </c>
      <c r="L30" s="12">
        <v>5</v>
      </c>
      <c r="M30" s="12">
        <v>5</v>
      </c>
      <c r="N30" s="12">
        <v>5</v>
      </c>
      <c r="O30" s="12">
        <v>5</v>
      </c>
      <c r="P30" s="12">
        <v>5</v>
      </c>
      <c r="Q30" s="12">
        <v>5</v>
      </c>
      <c r="R30" s="12">
        <v>5</v>
      </c>
      <c r="S30" s="12">
        <v>5</v>
      </c>
      <c r="T30" s="12">
        <v>5</v>
      </c>
      <c r="U30" s="12">
        <v>5</v>
      </c>
      <c r="V30" s="12">
        <v>5</v>
      </c>
      <c r="W30" s="12">
        <v>5</v>
      </c>
      <c r="X30" s="4">
        <f t="shared" si="0"/>
        <v>80</v>
      </c>
      <c r="Y30" s="14"/>
      <c r="Z30" s="14"/>
    </row>
    <row r="31" spans="2:26" x14ac:dyDescent="0.3">
      <c r="B31" s="4">
        <v>28</v>
      </c>
      <c r="C31" s="4" t="s">
        <v>57</v>
      </c>
      <c r="D31" s="8" t="s">
        <v>30</v>
      </c>
      <c r="E31" s="12" t="s">
        <v>52</v>
      </c>
      <c r="F31" s="12">
        <v>1</v>
      </c>
      <c r="G31" s="12" t="s">
        <v>32</v>
      </c>
      <c r="H31" s="12">
        <v>5</v>
      </c>
      <c r="I31" s="12">
        <v>5</v>
      </c>
      <c r="J31" s="12">
        <v>5</v>
      </c>
      <c r="K31" s="12">
        <v>5</v>
      </c>
      <c r="L31" s="12">
        <v>5</v>
      </c>
      <c r="M31" s="12">
        <v>5</v>
      </c>
      <c r="N31" s="12">
        <v>5</v>
      </c>
      <c r="O31" s="12">
        <v>5</v>
      </c>
      <c r="P31" s="12">
        <v>5</v>
      </c>
      <c r="Q31" s="12">
        <v>5</v>
      </c>
      <c r="R31" s="12">
        <v>5</v>
      </c>
      <c r="S31" s="12">
        <v>5</v>
      </c>
      <c r="T31" s="12">
        <v>5</v>
      </c>
      <c r="U31" s="12">
        <v>5</v>
      </c>
      <c r="V31" s="12">
        <v>5</v>
      </c>
      <c r="W31" s="12">
        <v>5</v>
      </c>
      <c r="X31" s="4">
        <f t="shared" si="0"/>
        <v>80</v>
      </c>
      <c r="Y31" s="15"/>
      <c r="Z31" s="15"/>
    </row>
    <row r="32" spans="2:26" x14ac:dyDescent="0.3">
      <c r="B32" s="45" t="s">
        <v>56</v>
      </c>
      <c r="C32" s="45"/>
      <c r="D32" s="45"/>
      <c r="E32" s="45"/>
      <c r="F32" s="45"/>
      <c r="G32" s="45"/>
      <c r="H32" s="22">
        <f>AVERAGE(H4:H31)*20</f>
        <v>96.428571428571416</v>
      </c>
      <c r="I32" s="22">
        <f t="shared" ref="I32:W32" si="1">AVERAGE(I4:I31)*20</f>
        <v>95.714285714285708</v>
      </c>
      <c r="J32" s="22">
        <f t="shared" si="1"/>
        <v>95</v>
      </c>
      <c r="K32" s="22">
        <f t="shared" si="1"/>
        <v>95</v>
      </c>
      <c r="L32" s="22">
        <f t="shared" si="1"/>
        <v>97.142857142857139</v>
      </c>
      <c r="M32" s="22">
        <f t="shared" si="1"/>
        <v>97.142857142857139</v>
      </c>
      <c r="N32" s="22">
        <f t="shared" si="1"/>
        <v>95.714285714285708</v>
      </c>
      <c r="O32" s="22">
        <f t="shared" si="1"/>
        <v>96.428571428571416</v>
      </c>
      <c r="P32" s="22">
        <f t="shared" si="1"/>
        <v>95.714285714285708</v>
      </c>
      <c r="Q32" s="22">
        <f t="shared" si="1"/>
        <v>96.428571428571416</v>
      </c>
      <c r="R32" s="22">
        <f t="shared" si="1"/>
        <v>96.428571428571416</v>
      </c>
      <c r="S32" s="22">
        <f t="shared" si="1"/>
        <v>92.857142857142861</v>
      </c>
      <c r="T32" s="22">
        <f t="shared" si="1"/>
        <v>95</v>
      </c>
      <c r="U32" s="22">
        <f t="shared" si="1"/>
        <v>95.714285714285708</v>
      </c>
      <c r="V32" s="22">
        <f t="shared" si="1"/>
        <v>95</v>
      </c>
      <c r="W32" s="22">
        <f t="shared" si="1"/>
        <v>95.714285714285708</v>
      </c>
      <c r="X32" s="23">
        <f>AVERAGE(H4:W31)*20</f>
        <v>95.714285714285708</v>
      </c>
      <c r="Y32" s="11"/>
      <c r="Z32" s="11"/>
    </row>
    <row r="33" spans="24:24" x14ac:dyDescent="0.3">
      <c r="X33" s="10"/>
    </row>
  </sheetData>
  <autoFilter ref="A3:Z32"/>
  <sortState ref="E145:L274">
    <sortCondition ref="E145:E274" customList="건설시스템공학과,환경에너지공학과,컴퓨터공학과,기계공학과B,문화테크노학과"/>
  </sortState>
  <mergeCells count="2">
    <mergeCell ref="B1:Z1"/>
    <mergeCell ref="B32:G32"/>
  </mergeCells>
  <phoneticPr fontId="1" type="noConversion"/>
  <pageMargins left="0.25" right="0.25" top="0.75" bottom="0.75" header="0.3" footer="0.3"/>
  <pageSetup paperSize="9" scale="47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7"/>
  <sheetViews>
    <sheetView zoomScale="85" zoomScaleNormal="85" workbookViewId="0">
      <pane ySplit="3" topLeftCell="A338" activePane="bottomLeft" state="frozen"/>
      <selection activeCell="C42" sqref="C42"/>
      <selection pane="bottomLeft" activeCell="B438" sqref="B438"/>
    </sheetView>
  </sheetViews>
  <sheetFormatPr defaultColWidth="9" defaultRowHeight="16.5" x14ac:dyDescent="0.3"/>
  <cols>
    <col min="1" max="1" width="9" style="39"/>
    <col min="2" max="2" width="24" style="6" customWidth="1"/>
    <col min="3" max="3" width="17.625" style="6" customWidth="1"/>
    <col min="4" max="4" width="30.625" style="6" customWidth="1"/>
    <col min="5" max="5" width="6.875" customWidth="1"/>
    <col min="6" max="6" width="6.625" style="6" customWidth="1"/>
    <col min="7" max="28" width="6.125" style="6" customWidth="1"/>
    <col min="29" max="16384" width="9" style="6"/>
  </cols>
  <sheetData>
    <row r="1" spans="1:28" ht="26.25" x14ac:dyDescent="0.3">
      <c r="A1" s="46" t="s">
        <v>80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3" spans="1:28" ht="33" x14ac:dyDescent="0.3">
      <c r="A3" s="24" t="s">
        <v>59</v>
      </c>
      <c r="B3" s="7" t="s">
        <v>4</v>
      </c>
      <c r="C3" s="7" t="s">
        <v>5</v>
      </c>
      <c r="D3" s="7" t="s">
        <v>60</v>
      </c>
      <c r="E3" s="21" t="s">
        <v>1</v>
      </c>
      <c r="F3" s="7" t="s">
        <v>2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14</v>
      </c>
      <c r="N3" s="25" t="s">
        <v>16</v>
      </c>
      <c r="O3" s="25" t="s">
        <v>18</v>
      </c>
      <c r="P3" s="25" t="s">
        <v>20</v>
      </c>
      <c r="Q3" s="25" t="s">
        <v>22</v>
      </c>
      <c r="R3" s="25" t="s">
        <v>23</v>
      </c>
      <c r="S3" s="25" t="s">
        <v>24</v>
      </c>
      <c r="T3" s="25" t="s">
        <v>61</v>
      </c>
      <c r="U3" s="25" t="s">
        <v>62</v>
      </c>
      <c r="V3" s="25" t="s">
        <v>63</v>
      </c>
      <c r="W3" s="25" t="s">
        <v>64</v>
      </c>
      <c r="X3" s="25" t="s">
        <v>65</v>
      </c>
      <c r="Y3" s="25" t="s">
        <v>66</v>
      </c>
      <c r="Z3" s="25" t="s">
        <v>67</v>
      </c>
      <c r="AA3" s="25" t="s">
        <v>68</v>
      </c>
      <c r="AB3" s="25" t="s">
        <v>69</v>
      </c>
    </row>
    <row r="4" spans="1:28" s="28" customFormat="1" x14ac:dyDescent="0.3">
      <c r="A4" s="26">
        <v>1</v>
      </c>
      <c r="B4" s="4" t="s">
        <v>57</v>
      </c>
      <c r="C4" s="8" t="s">
        <v>30</v>
      </c>
      <c r="D4" s="4" t="s">
        <v>70</v>
      </c>
      <c r="E4" s="4">
        <v>2</v>
      </c>
      <c r="F4" s="27" t="s">
        <v>32</v>
      </c>
      <c r="G4" s="26">
        <v>3</v>
      </c>
      <c r="H4" s="26">
        <v>3</v>
      </c>
      <c r="I4" s="26">
        <v>3</v>
      </c>
      <c r="J4" s="26">
        <v>3</v>
      </c>
      <c r="K4" s="26">
        <v>3</v>
      </c>
      <c r="L4" s="26">
        <v>3</v>
      </c>
      <c r="M4" s="26">
        <v>3</v>
      </c>
      <c r="N4" s="26">
        <v>3</v>
      </c>
      <c r="O4" s="26">
        <v>3</v>
      </c>
      <c r="P4" s="26">
        <v>3</v>
      </c>
      <c r="Q4" s="26">
        <v>3</v>
      </c>
      <c r="R4" s="26">
        <v>3</v>
      </c>
      <c r="S4" s="26">
        <v>3</v>
      </c>
      <c r="T4" s="26">
        <v>3</v>
      </c>
      <c r="U4" s="26">
        <v>3</v>
      </c>
      <c r="V4" s="26">
        <v>3</v>
      </c>
      <c r="W4" s="26">
        <v>3</v>
      </c>
      <c r="X4" s="26">
        <v>3</v>
      </c>
      <c r="Y4" s="26">
        <v>3</v>
      </c>
      <c r="Z4" s="26">
        <v>3</v>
      </c>
      <c r="AA4" s="26">
        <v>3</v>
      </c>
      <c r="AB4" s="26">
        <v>3</v>
      </c>
    </row>
    <row r="5" spans="1:28" s="28" customFormat="1" x14ac:dyDescent="0.3">
      <c r="A5" s="26">
        <v>2</v>
      </c>
      <c r="B5" s="4"/>
      <c r="C5" s="8" t="s">
        <v>30</v>
      </c>
      <c r="D5" s="4" t="s">
        <v>70</v>
      </c>
      <c r="E5" s="4">
        <v>1</v>
      </c>
      <c r="F5" s="27" t="s">
        <v>32</v>
      </c>
      <c r="G5" s="26">
        <v>2</v>
      </c>
      <c r="H5" s="26">
        <v>2</v>
      </c>
      <c r="I5" s="26">
        <v>2</v>
      </c>
      <c r="J5" s="26">
        <v>2</v>
      </c>
      <c r="K5" s="26">
        <v>3</v>
      </c>
      <c r="L5" s="26">
        <v>2</v>
      </c>
      <c r="M5" s="26">
        <v>3</v>
      </c>
      <c r="N5" s="26">
        <v>3</v>
      </c>
      <c r="O5" s="26">
        <v>2</v>
      </c>
      <c r="P5" s="26">
        <v>3</v>
      </c>
      <c r="Q5" s="26">
        <v>2</v>
      </c>
      <c r="R5" s="26">
        <v>2</v>
      </c>
      <c r="S5" s="26">
        <v>2</v>
      </c>
      <c r="T5" s="26">
        <v>2</v>
      </c>
      <c r="U5" s="26">
        <v>2</v>
      </c>
      <c r="V5" s="26">
        <v>2</v>
      </c>
      <c r="W5" s="26">
        <v>3</v>
      </c>
      <c r="X5" s="26">
        <v>2</v>
      </c>
      <c r="Y5" s="26">
        <v>2</v>
      </c>
      <c r="Z5" s="26">
        <v>3</v>
      </c>
      <c r="AA5" s="26">
        <v>2</v>
      </c>
      <c r="AB5" s="26">
        <v>3</v>
      </c>
    </row>
    <row r="6" spans="1:28" s="28" customFormat="1" x14ac:dyDescent="0.3">
      <c r="A6" s="26">
        <v>3</v>
      </c>
      <c r="B6" s="4"/>
      <c r="C6" s="8" t="s">
        <v>30</v>
      </c>
      <c r="D6" s="4" t="s">
        <v>70</v>
      </c>
      <c r="E6" s="4">
        <v>2</v>
      </c>
      <c r="F6" s="27" t="s">
        <v>36</v>
      </c>
      <c r="G6" s="29">
        <v>3</v>
      </c>
      <c r="H6" s="29">
        <v>3</v>
      </c>
      <c r="I6" s="29">
        <v>3</v>
      </c>
      <c r="J6" s="29">
        <v>4</v>
      </c>
      <c r="K6" s="29">
        <v>4</v>
      </c>
      <c r="L6" s="29">
        <v>3</v>
      </c>
      <c r="M6" s="29">
        <v>4</v>
      </c>
      <c r="N6" s="29">
        <v>4</v>
      </c>
      <c r="O6" s="29">
        <v>3</v>
      </c>
      <c r="P6" s="29">
        <v>3</v>
      </c>
      <c r="Q6" s="29">
        <v>3</v>
      </c>
      <c r="R6" s="29">
        <v>4</v>
      </c>
      <c r="S6" s="29">
        <v>4</v>
      </c>
      <c r="T6" s="29">
        <v>4</v>
      </c>
      <c r="U6" s="29">
        <v>3</v>
      </c>
      <c r="V6" s="29">
        <v>3</v>
      </c>
      <c r="W6" s="29">
        <v>4</v>
      </c>
      <c r="X6" s="29">
        <v>3</v>
      </c>
      <c r="Y6" s="29">
        <v>4</v>
      </c>
      <c r="Z6" s="29">
        <v>4</v>
      </c>
      <c r="AA6" s="29">
        <v>4</v>
      </c>
      <c r="AB6" s="29">
        <v>4</v>
      </c>
    </row>
    <row r="7" spans="1:28" s="30" customFormat="1" x14ac:dyDescent="0.3">
      <c r="A7" s="26">
        <v>4</v>
      </c>
      <c r="B7" s="4"/>
      <c r="C7" s="8" t="s">
        <v>30</v>
      </c>
      <c r="D7" s="4" t="s">
        <v>71</v>
      </c>
      <c r="E7" s="4">
        <v>1</v>
      </c>
      <c r="F7" s="27" t="s">
        <v>36</v>
      </c>
      <c r="G7" s="29">
        <v>3</v>
      </c>
      <c r="H7" s="29">
        <v>4</v>
      </c>
      <c r="I7" s="29">
        <v>4</v>
      </c>
      <c r="J7" s="29">
        <v>2</v>
      </c>
      <c r="K7" s="29">
        <v>2</v>
      </c>
      <c r="L7" s="29">
        <v>4</v>
      </c>
      <c r="M7" s="29">
        <v>4</v>
      </c>
      <c r="N7" s="29">
        <v>3</v>
      </c>
      <c r="O7" s="29">
        <v>3</v>
      </c>
      <c r="P7" s="29">
        <v>4</v>
      </c>
      <c r="Q7" s="29">
        <v>3</v>
      </c>
      <c r="R7" s="29">
        <v>2</v>
      </c>
      <c r="S7" s="29">
        <v>3</v>
      </c>
      <c r="T7" s="29">
        <v>2</v>
      </c>
      <c r="U7" s="29">
        <v>3</v>
      </c>
      <c r="V7" s="29">
        <v>3</v>
      </c>
      <c r="W7" s="29">
        <v>3</v>
      </c>
      <c r="X7" s="29">
        <v>4</v>
      </c>
      <c r="Y7" s="29">
        <v>4</v>
      </c>
      <c r="Z7" s="29">
        <v>4</v>
      </c>
      <c r="AA7" s="29">
        <v>4</v>
      </c>
      <c r="AB7" s="29">
        <v>4</v>
      </c>
    </row>
    <row r="8" spans="1:28" s="30" customFormat="1" x14ac:dyDescent="0.3">
      <c r="A8" s="26">
        <v>5</v>
      </c>
      <c r="B8" s="4"/>
      <c r="C8" s="8" t="s">
        <v>30</v>
      </c>
      <c r="D8" s="31" t="s">
        <v>72</v>
      </c>
      <c r="E8" s="32">
        <v>2</v>
      </c>
      <c r="F8" s="27" t="s">
        <v>36</v>
      </c>
      <c r="G8" s="29">
        <v>5</v>
      </c>
      <c r="H8" s="29">
        <v>5</v>
      </c>
      <c r="I8" s="29">
        <v>5</v>
      </c>
      <c r="J8" s="29">
        <v>4</v>
      </c>
      <c r="K8" s="29">
        <v>3</v>
      </c>
      <c r="L8" s="29">
        <v>3</v>
      </c>
      <c r="M8" s="29">
        <v>4</v>
      </c>
      <c r="N8" s="29">
        <v>5</v>
      </c>
      <c r="O8" s="29">
        <v>5</v>
      </c>
      <c r="P8" s="29">
        <v>5</v>
      </c>
      <c r="Q8" s="29">
        <v>3</v>
      </c>
      <c r="R8" s="29">
        <v>4</v>
      </c>
      <c r="S8" s="29">
        <v>3</v>
      </c>
      <c r="T8" s="29">
        <v>5</v>
      </c>
      <c r="U8" s="29">
        <v>5</v>
      </c>
      <c r="V8" s="29">
        <v>3</v>
      </c>
      <c r="W8" s="29">
        <v>4</v>
      </c>
      <c r="X8" s="29">
        <v>5</v>
      </c>
      <c r="Y8" s="29">
        <v>3</v>
      </c>
      <c r="Z8" s="29">
        <v>4</v>
      </c>
      <c r="AA8" s="29">
        <v>3</v>
      </c>
      <c r="AB8" s="29">
        <v>5</v>
      </c>
    </row>
    <row r="9" spans="1:28" s="30" customFormat="1" x14ac:dyDescent="0.3">
      <c r="A9" s="26">
        <v>6</v>
      </c>
      <c r="B9" s="4"/>
      <c r="C9" s="8" t="s">
        <v>30</v>
      </c>
      <c r="D9" s="33" t="s">
        <v>71</v>
      </c>
      <c r="E9" s="4">
        <v>1</v>
      </c>
      <c r="F9" s="27" t="s">
        <v>36</v>
      </c>
      <c r="G9" s="29">
        <v>3</v>
      </c>
      <c r="H9" s="29">
        <v>4</v>
      </c>
      <c r="I9" s="29">
        <v>4</v>
      </c>
      <c r="J9" s="29">
        <v>3</v>
      </c>
      <c r="K9" s="29">
        <v>3</v>
      </c>
      <c r="L9" s="29">
        <v>3</v>
      </c>
      <c r="M9" s="29">
        <v>3</v>
      </c>
      <c r="N9" s="29">
        <v>3</v>
      </c>
      <c r="O9" s="29">
        <v>3</v>
      </c>
      <c r="P9" s="29">
        <v>4</v>
      </c>
      <c r="Q9" s="29">
        <v>4</v>
      </c>
      <c r="R9" s="29">
        <v>3</v>
      </c>
      <c r="S9" s="29">
        <v>3</v>
      </c>
      <c r="T9" s="29">
        <v>3</v>
      </c>
      <c r="U9" s="29">
        <v>3</v>
      </c>
      <c r="V9" s="29">
        <v>3</v>
      </c>
      <c r="W9" s="29">
        <v>3</v>
      </c>
      <c r="X9" s="29">
        <v>3</v>
      </c>
      <c r="Y9" s="29">
        <v>4</v>
      </c>
      <c r="Z9" s="29">
        <v>4</v>
      </c>
      <c r="AA9" s="29">
        <v>3</v>
      </c>
      <c r="AB9" s="29">
        <v>4</v>
      </c>
    </row>
    <row r="10" spans="1:28" s="34" customFormat="1" x14ac:dyDescent="0.3">
      <c r="A10" s="26">
        <v>7</v>
      </c>
      <c r="B10" s="4"/>
      <c r="C10" s="8" t="s">
        <v>30</v>
      </c>
      <c r="D10" s="4" t="s">
        <v>73</v>
      </c>
      <c r="E10" s="4">
        <v>1</v>
      </c>
      <c r="F10" s="27" t="s">
        <v>36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2</v>
      </c>
      <c r="N10" s="29">
        <v>1</v>
      </c>
      <c r="O10" s="29">
        <v>1</v>
      </c>
      <c r="P10" s="29">
        <v>2</v>
      </c>
      <c r="Q10" s="29">
        <v>1</v>
      </c>
      <c r="R10" s="29">
        <v>2</v>
      </c>
      <c r="S10" s="29">
        <v>1</v>
      </c>
      <c r="T10" s="29">
        <v>2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 s="34" customFormat="1" x14ac:dyDescent="0.3">
      <c r="A11" s="26">
        <v>8</v>
      </c>
      <c r="B11" s="4"/>
      <c r="C11" s="8" t="s">
        <v>30</v>
      </c>
      <c r="D11" s="4" t="s">
        <v>70</v>
      </c>
      <c r="E11" s="4">
        <v>1</v>
      </c>
      <c r="F11" s="27" t="s">
        <v>36</v>
      </c>
      <c r="G11" s="29">
        <v>4</v>
      </c>
      <c r="H11" s="29">
        <v>4</v>
      </c>
      <c r="I11" s="29">
        <v>4</v>
      </c>
      <c r="J11" s="29">
        <v>3</v>
      </c>
      <c r="K11" s="29">
        <v>3</v>
      </c>
      <c r="L11" s="29">
        <v>4</v>
      </c>
      <c r="M11" s="29">
        <v>5</v>
      </c>
      <c r="N11" s="29">
        <v>4</v>
      </c>
      <c r="O11" s="29">
        <v>3</v>
      </c>
      <c r="P11" s="29">
        <v>3</v>
      </c>
      <c r="Q11" s="29">
        <v>3</v>
      </c>
      <c r="R11" s="29">
        <v>3</v>
      </c>
      <c r="S11" s="29">
        <v>3</v>
      </c>
      <c r="T11" s="29">
        <v>3</v>
      </c>
      <c r="U11" s="29">
        <v>3</v>
      </c>
      <c r="V11" s="29">
        <v>3</v>
      </c>
      <c r="W11" s="29">
        <v>3</v>
      </c>
      <c r="X11" s="29">
        <v>3</v>
      </c>
      <c r="Y11" s="29">
        <v>4</v>
      </c>
      <c r="Z11" s="29">
        <v>3</v>
      </c>
      <c r="AA11" s="29">
        <v>4</v>
      </c>
      <c r="AB11" s="29">
        <v>4</v>
      </c>
    </row>
    <row r="12" spans="1:28" s="34" customFormat="1" x14ac:dyDescent="0.3">
      <c r="A12" s="26">
        <v>9</v>
      </c>
      <c r="B12" s="4"/>
      <c r="C12" s="8" t="s">
        <v>30</v>
      </c>
      <c r="D12" s="4" t="s">
        <v>70</v>
      </c>
      <c r="E12" s="4">
        <v>2</v>
      </c>
      <c r="F12" s="27" t="s">
        <v>32</v>
      </c>
      <c r="G12" s="29">
        <v>2</v>
      </c>
      <c r="H12" s="29">
        <v>3</v>
      </c>
      <c r="I12" s="29">
        <v>1</v>
      </c>
      <c r="J12" s="29">
        <v>3</v>
      </c>
      <c r="K12" s="29">
        <v>3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2</v>
      </c>
      <c r="R12" s="29">
        <v>2</v>
      </c>
      <c r="S12" s="29">
        <v>2</v>
      </c>
      <c r="T12" s="29">
        <v>1</v>
      </c>
      <c r="U12" s="29">
        <v>3</v>
      </c>
      <c r="V12" s="29">
        <v>2</v>
      </c>
      <c r="W12" s="29">
        <v>3</v>
      </c>
      <c r="X12" s="29">
        <v>1</v>
      </c>
      <c r="Y12" s="29">
        <v>3</v>
      </c>
      <c r="Z12" s="29">
        <v>3</v>
      </c>
      <c r="AA12" s="29">
        <v>2</v>
      </c>
      <c r="AB12" s="29">
        <v>3</v>
      </c>
    </row>
    <row r="13" spans="1:28" s="34" customFormat="1" x14ac:dyDescent="0.3">
      <c r="A13" s="26">
        <v>10</v>
      </c>
      <c r="B13" s="4"/>
      <c r="C13" s="8" t="s">
        <v>30</v>
      </c>
      <c r="D13" s="4" t="s">
        <v>70</v>
      </c>
      <c r="E13" s="32">
        <v>1</v>
      </c>
      <c r="F13" s="27" t="s">
        <v>32</v>
      </c>
      <c r="G13" s="29">
        <v>3</v>
      </c>
      <c r="H13" s="29">
        <v>3</v>
      </c>
      <c r="I13" s="29">
        <v>3</v>
      </c>
      <c r="J13" s="29">
        <v>3</v>
      </c>
      <c r="K13" s="29">
        <v>3</v>
      </c>
      <c r="L13" s="29">
        <v>3</v>
      </c>
      <c r="M13" s="29">
        <v>3</v>
      </c>
      <c r="N13" s="29">
        <v>3</v>
      </c>
      <c r="O13" s="29">
        <v>3</v>
      </c>
      <c r="P13" s="29">
        <v>3</v>
      </c>
      <c r="Q13" s="29">
        <v>3</v>
      </c>
      <c r="R13" s="29">
        <v>3</v>
      </c>
      <c r="S13" s="29">
        <v>3</v>
      </c>
      <c r="T13" s="29">
        <v>3</v>
      </c>
      <c r="U13" s="29">
        <v>3</v>
      </c>
      <c r="V13" s="29">
        <v>3</v>
      </c>
      <c r="W13" s="29">
        <v>3</v>
      </c>
      <c r="X13" s="29">
        <v>3</v>
      </c>
      <c r="Y13" s="29">
        <v>3</v>
      </c>
      <c r="Z13" s="29">
        <v>3</v>
      </c>
      <c r="AA13" s="29">
        <v>3</v>
      </c>
      <c r="AB13" s="29">
        <v>3</v>
      </c>
    </row>
    <row r="14" spans="1:28" s="34" customFormat="1" x14ac:dyDescent="0.3">
      <c r="A14" s="26">
        <v>11</v>
      </c>
      <c r="B14" s="4"/>
      <c r="C14" s="8" t="s">
        <v>30</v>
      </c>
      <c r="D14" s="4" t="s">
        <v>72</v>
      </c>
      <c r="E14" s="4">
        <v>2</v>
      </c>
      <c r="F14" s="35" t="s">
        <v>36</v>
      </c>
      <c r="G14" s="29">
        <v>3</v>
      </c>
      <c r="H14" s="29">
        <v>4</v>
      </c>
      <c r="I14" s="29">
        <v>3</v>
      </c>
      <c r="J14" s="29">
        <v>3</v>
      </c>
      <c r="K14" s="29">
        <v>3</v>
      </c>
      <c r="L14" s="29">
        <v>3</v>
      </c>
      <c r="M14" s="29">
        <v>3</v>
      </c>
      <c r="N14" s="29">
        <v>3</v>
      </c>
      <c r="O14" s="29">
        <v>3</v>
      </c>
      <c r="P14" s="29">
        <v>3</v>
      </c>
      <c r="Q14" s="29">
        <v>3</v>
      </c>
      <c r="R14" s="29">
        <v>3</v>
      </c>
      <c r="S14" s="29">
        <v>3</v>
      </c>
      <c r="T14" s="29">
        <v>3</v>
      </c>
      <c r="U14" s="29">
        <v>3</v>
      </c>
      <c r="V14" s="29">
        <v>3</v>
      </c>
      <c r="W14" s="29">
        <v>4</v>
      </c>
      <c r="X14" s="29">
        <v>3</v>
      </c>
      <c r="Y14" s="29">
        <v>3</v>
      </c>
      <c r="Z14" s="29">
        <v>3</v>
      </c>
      <c r="AA14" s="29">
        <v>3</v>
      </c>
      <c r="AB14" s="29">
        <v>4</v>
      </c>
    </row>
    <row r="15" spans="1:28" s="34" customFormat="1" x14ac:dyDescent="0.3">
      <c r="A15" s="26">
        <v>12</v>
      </c>
      <c r="B15" s="4"/>
      <c r="C15" s="8" t="s">
        <v>30</v>
      </c>
      <c r="D15" s="4" t="s">
        <v>73</v>
      </c>
      <c r="E15" s="4">
        <v>1</v>
      </c>
      <c r="F15" s="35" t="s">
        <v>36</v>
      </c>
      <c r="G15" s="29">
        <v>3</v>
      </c>
      <c r="H15" s="29">
        <v>4</v>
      </c>
      <c r="I15" s="29">
        <v>3</v>
      </c>
      <c r="J15" s="29">
        <v>3</v>
      </c>
      <c r="K15" s="29">
        <v>3</v>
      </c>
      <c r="L15" s="29">
        <v>3</v>
      </c>
      <c r="M15" s="29">
        <v>3</v>
      </c>
      <c r="N15" s="29">
        <v>3</v>
      </c>
      <c r="O15" s="29">
        <v>3</v>
      </c>
      <c r="P15" s="29">
        <v>3</v>
      </c>
      <c r="Q15" s="29">
        <v>3</v>
      </c>
      <c r="R15" s="29">
        <v>3</v>
      </c>
      <c r="S15" s="29">
        <v>3</v>
      </c>
      <c r="T15" s="29">
        <v>3</v>
      </c>
      <c r="U15" s="29">
        <v>3</v>
      </c>
      <c r="V15" s="29">
        <v>3</v>
      </c>
      <c r="W15" s="29">
        <v>3</v>
      </c>
      <c r="X15" s="29">
        <v>4</v>
      </c>
      <c r="Y15" s="29">
        <v>3</v>
      </c>
      <c r="Z15" s="29">
        <v>3</v>
      </c>
      <c r="AA15" s="29">
        <v>3</v>
      </c>
      <c r="AB15" s="29">
        <v>3</v>
      </c>
    </row>
    <row r="16" spans="1:28" s="34" customFormat="1" x14ac:dyDescent="0.3">
      <c r="A16" s="26">
        <v>13</v>
      </c>
      <c r="B16" s="4"/>
      <c r="C16" s="8" t="s">
        <v>30</v>
      </c>
      <c r="D16" s="4" t="s">
        <v>70</v>
      </c>
      <c r="E16" s="4">
        <v>1</v>
      </c>
      <c r="F16" s="35" t="s">
        <v>32</v>
      </c>
      <c r="G16" s="29">
        <v>3</v>
      </c>
      <c r="H16" s="29">
        <v>4</v>
      </c>
      <c r="I16" s="29">
        <v>3</v>
      </c>
      <c r="J16" s="29">
        <v>3</v>
      </c>
      <c r="K16" s="29">
        <v>3</v>
      </c>
      <c r="L16" s="29">
        <v>4</v>
      </c>
      <c r="M16" s="29">
        <v>4</v>
      </c>
      <c r="N16" s="29">
        <v>3</v>
      </c>
      <c r="O16" s="29">
        <v>4</v>
      </c>
      <c r="P16" s="29">
        <v>3</v>
      </c>
      <c r="Q16" s="29">
        <v>3</v>
      </c>
      <c r="R16" s="29">
        <v>3</v>
      </c>
      <c r="S16" s="29">
        <v>3</v>
      </c>
      <c r="T16" s="29">
        <v>3</v>
      </c>
      <c r="U16" s="29">
        <v>3</v>
      </c>
      <c r="V16" s="29">
        <v>3</v>
      </c>
      <c r="W16" s="29">
        <v>3</v>
      </c>
      <c r="X16" s="29">
        <v>3</v>
      </c>
      <c r="Y16" s="29">
        <v>3</v>
      </c>
      <c r="Z16" s="29">
        <v>3</v>
      </c>
      <c r="AA16" s="29">
        <v>3</v>
      </c>
      <c r="AB16" s="29">
        <v>4</v>
      </c>
    </row>
    <row r="17" spans="1:28" s="34" customFormat="1" x14ac:dyDescent="0.3">
      <c r="A17" s="26">
        <v>14</v>
      </c>
      <c r="B17" s="4"/>
      <c r="C17" s="8" t="s">
        <v>30</v>
      </c>
      <c r="D17" s="4" t="s">
        <v>70</v>
      </c>
      <c r="E17" s="4">
        <v>1</v>
      </c>
      <c r="F17" s="35" t="s">
        <v>32</v>
      </c>
      <c r="G17" s="29">
        <v>4</v>
      </c>
      <c r="H17" s="29">
        <v>5</v>
      </c>
      <c r="I17" s="29">
        <v>3</v>
      </c>
      <c r="J17" s="29">
        <v>3</v>
      </c>
      <c r="K17" s="29">
        <v>3</v>
      </c>
      <c r="L17" s="29">
        <v>3</v>
      </c>
      <c r="M17" s="29">
        <v>3</v>
      </c>
      <c r="N17" s="29">
        <v>4</v>
      </c>
      <c r="O17" s="29">
        <v>4</v>
      </c>
      <c r="P17" s="29">
        <v>3</v>
      </c>
      <c r="Q17" s="29">
        <v>3</v>
      </c>
      <c r="R17" s="29">
        <v>3</v>
      </c>
      <c r="S17" s="29">
        <v>3</v>
      </c>
      <c r="T17" s="29">
        <v>3</v>
      </c>
      <c r="U17" s="29">
        <v>3</v>
      </c>
      <c r="V17" s="29">
        <v>3</v>
      </c>
      <c r="W17" s="29">
        <v>4</v>
      </c>
      <c r="X17" s="29">
        <v>4</v>
      </c>
      <c r="Y17" s="29">
        <v>5</v>
      </c>
      <c r="Z17" s="29">
        <v>5</v>
      </c>
      <c r="AA17" s="29">
        <v>5</v>
      </c>
      <c r="AB17" s="29">
        <v>5</v>
      </c>
    </row>
    <row r="18" spans="1:28" s="34" customFormat="1" x14ac:dyDescent="0.3">
      <c r="A18" s="26">
        <v>15</v>
      </c>
      <c r="B18" s="4"/>
      <c r="C18" s="8" t="s">
        <v>30</v>
      </c>
      <c r="D18" s="4" t="s">
        <v>70</v>
      </c>
      <c r="E18" s="4">
        <v>2</v>
      </c>
      <c r="F18" s="35" t="s">
        <v>32</v>
      </c>
      <c r="G18" s="29">
        <v>5</v>
      </c>
      <c r="H18" s="29">
        <v>4</v>
      </c>
      <c r="I18" s="29">
        <v>3</v>
      </c>
      <c r="J18" s="29">
        <v>4</v>
      </c>
      <c r="K18" s="29">
        <v>4</v>
      </c>
      <c r="L18" s="29">
        <v>3</v>
      </c>
      <c r="M18" s="29">
        <v>4</v>
      </c>
      <c r="N18" s="29">
        <v>4</v>
      </c>
      <c r="O18" s="29">
        <v>3</v>
      </c>
      <c r="P18" s="29">
        <v>3</v>
      </c>
      <c r="Q18" s="29">
        <v>3</v>
      </c>
      <c r="R18" s="29">
        <v>4</v>
      </c>
      <c r="S18" s="29">
        <v>4</v>
      </c>
      <c r="T18" s="29">
        <v>3</v>
      </c>
      <c r="U18" s="29">
        <v>3</v>
      </c>
      <c r="V18" s="29">
        <v>3</v>
      </c>
      <c r="W18" s="29">
        <v>3</v>
      </c>
      <c r="X18" s="29">
        <v>4</v>
      </c>
      <c r="Y18" s="29">
        <v>4</v>
      </c>
      <c r="Z18" s="29">
        <v>4</v>
      </c>
      <c r="AA18" s="29">
        <v>3</v>
      </c>
      <c r="AB18" s="29">
        <v>4</v>
      </c>
    </row>
    <row r="19" spans="1:28" s="34" customFormat="1" x14ac:dyDescent="0.3">
      <c r="A19" s="26">
        <v>16</v>
      </c>
      <c r="B19" s="4"/>
      <c r="C19" s="8" t="s">
        <v>30</v>
      </c>
      <c r="D19" s="4" t="s">
        <v>74</v>
      </c>
      <c r="E19" s="4">
        <v>2</v>
      </c>
      <c r="F19" s="35" t="s">
        <v>32</v>
      </c>
      <c r="G19" s="29">
        <v>3</v>
      </c>
      <c r="H19" s="29">
        <v>3</v>
      </c>
      <c r="I19" s="29">
        <v>3</v>
      </c>
      <c r="J19" s="29">
        <v>3</v>
      </c>
      <c r="K19" s="29">
        <v>3</v>
      </c>
      <c r="L19" s="29">
        <v>4</v>
      </c>
      <c r="M19" s="29">
        <v>3</v>
      </c>
      <c r="N19" s="29">
        <v>3</v>
      </c>
      <c r="O19" s="29">
        <v>3</v>
      </c>
      <c r="P19" s="29">
        <v>4</v>
      </c>
      <c r="Q19" s="29">
        <v>3</v>
      </c>
      <c r="R19" s="29">
        <v>3</v>
      </c>
      <c r="S19" s="29">
        <v>3</v>
      </c>
      <c r="T19" s="29">
        <v>3</v>
      </c>
      <c r="U19" s="29">
        <v>3</v>
      </c>
      <c r="V19" s="29">
        <v>3</v>
      </c>
      <c r="W19" s="29">
        <v>3</v>
      </c>
      <c r="X19" s="29">
        <v>3</v>
      </c>
      <c r="Y19" s="29">
        <v>3</v>
      </c>
      <c r="Z19" s="29">
        <v>3</v>
      </c>
      <c r="AA19" s="29">
        <v>3</v>
      </c>
      <c r="AB19" s="29">
        <v>3</v>
      </c>
    </row>
    <row r="20" spans="1:28" s="34" customFormat="1" x14ac:dyDescent="0.3">
      <c r="A20" s="26">
        <v>17</v>
      </c>
      <c r="B20" s="4"/>
      <c r="C20" s="8" t="s">
        <v>30</v>
      </c>
      <c r="D20" s="4" t="s">
        <v>71</v>
      </c>
      <c r="E20" s="4">
        <v>2</v>
      </c>
      <c r="F20" s="35" t="s">
        <v>32</v>
      </c>
      <c r="G20" s="29">
        <v>1</v>
      </c>
      <c r="H20" s="29">
        <v>2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2</v>
      </c>
      <c r="S20" s="29">
        <v>1</v>
      </c>
      <c r="T20" s="29">
        <v>2</v>
      </c>
      <c r="U20" s="29">
        <v>2</v>
      </c>
      <c r="V20" s="29">
        <v>2</v>
      </c>
      <c r="W20" s="29">
        <v>2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 s="34" customFormat="1" x14ac:dyDescent="0.3">
      <c r="A21" s="26">
        <v>18</v>
      </c>
      <c r="B21" s="4"/>
      <c r="C21" s="8" t="s">
        <v>30</v>
      </c>
      <c r="D21" s="4" t="s">
        <v>70</v>
      </c>
      <c r="E21" s="4">
        <v>1</v>
      </c>
      <c r="F21" s="35" t="s">
        <v>32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2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 s="34" customFormat="1" x14ac:dyDescent="0.3">
      <c r="A22" s="26">
        <v>19</v>
      </c>
      <c r="B22" s="4"/>
      <c r="C22" s="8" t="s">
        <v>30</v>
      </c>
      <c r="D22" s="4" t="s">
        <v>70</v>
      </c>
      <c r="E22" s="4">
        <v>2</v>
      </c>
      <c r="F22" s="35" t="s">
        <v>32</v>
      </c>
      <c r="G22" s="29">
        <v>3</v>
      </c>
      <c r="H22" s="29">
        <v>3</v>
      </c>
      <c r="I22" s="29">
        <v>3</v>
      </c>
      <c r="J22" s="29">
        <v>4</v>
      </c>
      <c r="K22" s="29">
        <v>5</v>
      </c>
      <c r="L22" s="29">
        <v>3</v>
      </c>
      <c r="M22" s="29">
        <v>4</v>
      </c>
      <c r="N22" s="29">
        <v>3</v>
      </c>
      <c r="O22" s="29">
        <v>2</v>
      </c>
      <c r="P22" s="29">
        <v>4</v>
      </c>
      <c r="Q22" s="29">
        <v>4</v>
      </c>
      <c r="R22" s="29">
        <v>4</v>
      </c>
      <c r="S22" s="29">
        <v>4</v>
      </c>
      <c r="T22" s="29">
        <v>2</v>
      </c>
      <c r="U22" s="29">
        <v>4</v>
      </c>
      <c r="V22" s="29">
        <v>3</v>
      </c>
      <c r="W22" s="29">
        <v>3</v>
      </c>
      <c r="X22" s="29">
        <v>3</v>
      </c>
      <c r="Y22" s="29">
        <v>4</v>
      </c>
      <c r="Z22" s="29">
        <v>4</v>
      </c>
      <c r="AA22" s="29">
        <v>3</v>
      </c>
      <c r="AB22" s="29">
        <v>4</v>
      </c>
    </row>
    <row r="23" spans="1:28" s="30" customFormat="1" x14ac:dyDescent="0.3">
      <c r="A23" s="26">
        <v>20</v>
      </c>
      <c r="B23" s="4"/>
      <c r="C23" s="8" t="s">
        <v>30</v>
      </c>
      <c r="D23" s="4" t="s">
        <v>74</v>
      </c>
      <c r="E23" s="4">
        <v>1</v>
      </c>
      <c r="F23" s="35" t="s">
        <v>32</v>
      </c>
      <c r="G23" s="29">
        <v>2</v>
      </c>
      <c r="H23" s="29">
        <v>3</v>
      </c>
      <c r="I23" s="29">
        <v>4</v>
      </c>
      <c r="J23" s="29">
        <v>3</v>
      </c>
      <c r="K23" s="29">
        <v>2</v>
      </c>
      <c r="L23" s="29">
        <v>4</v>
      </c>
      <c r="M23" s="29">
        <v>4</v>
      </c>
      <c r="N23" s="29">
        <v>3</v>
      </c>
      <c r="O23" s="29">
        <v>5</v>
      </c>
      <c r="P23" s="29">
        <v>4</v>
      </c>
      <c r="Q23" s="29">
        <v>2</v>
      </c>
      <c r="R23" s="29">
        <v>2</v>
      </c>
      <c r="S23" s="29">
        <v>3</v>
      </c>
      <c r="T23" s="29">
        <v>1</v>
      </c>
      <c r="U23" s="29">
        <v>3</v>
      </c>
      <c r="V23" s="29">
        <v>2</v>
      </c>
      <c r="W23" s="29">
        <v>4</v>
      </c>
      <c r="X23" s="29">
        <v>3</v>
      </c>
      <c r="Y23" s="29">
        <v>5</v>
      </c>
      <c r="Z23" s="29">
        <v>4</v>
      </c>
      <c r="AA23" s="29">
        <v>3</v>
      </c>
      <c r="AB23" s="29">
        <v>4</v>
      </c>
    </row>
    <row r="24" spans="1:28" s="30" customFormat="1" x14ac:dyDescent="0.3">
      <c r="A24" s="26">
        <v>21</v>
      </c>
      <c r="B24" s="4"/>
      <c r="C24" s="8" t="s">
        <v>30</v>
      </c>
      <c r="D24" s="4" t="s">
        <v>70</v>
      </c>
      <c r="E24" s="4">
        <v>1</v>
      </c>
      <c r="F24" s="35" t="s">
        <v>32</v>
      </c>
      <c r="G24" s="29">
        <v>4</v>
      </c>
      <c r="H24" s="29">
        <v>5</v>
      </c>
      <c r="I24" s="29">
        <v>4</v>
      </c>
      <c r="J24" s="29">
        <v>4</v>
      </c>
      <c r="K24" s="29">
        <v>5</v>
      </c>
      <c r="L24" s="29">
        <v>5</v>
      </c>
      <c r="M24" s="29">
        <v>5</v>
      </c>
      <c r="N24" s="29">
        <v>3</v>
      </c>
      <c r="O24" s="29">
        <v>5</v>
      </c>
      <c r="P24" s="29">
        <v>5</v>
      </c>
      <c r="Q24" s="29">
        <v>5</v>
      </c>
      <c r="R24" s="29">
        <v>5</v>
      </c>
      <c r="S24" s="29">
        <v>5</v>
      </c>
      <c r="T24" s="29">
        <v>5</v>
      </c>
      <c r="U24" s="29">
        <v>4</v>
      </c>
      <c r="V24" s="29">
        <v>5</v>
      </c>
      <c r="W24" s="29">
        <v>3</v>
      </c>
      <c r="X24" s="29">
        <v>4</v>
      </c>
      <c r="Y24" s="29">
        <v>4</v>
      </c>
      <c r="Z24" s="29">
        <v>3</v>
      </c>
      <c r="AA24" s="29">
        <v>4</v>
      </c>
      <c r="AB24" s="29">
        <v>4</v>
      </c>
    </row>
    <row r="25" spans="1:28" s="34" customFormat="1" x14ac:dyDescent="0.3">
      <c r="A25" s="26">
        <v>22</v>
      </c>
      <c r="B25" s="4"/>
      <c r="C25" s="8" t="s">
        <v>30</v>
      </c>
      <c r="D25" s="36" t="s">
        <v>75</v>
      </c>
      <c r="E25" s="4">
        <v>1</v>
      </c>
      <c r="F25" s="27" t="s">
        <v>36</v>
      </c>
      <c r="G25" s="29">
        <v>4</v>
      </c>
      <c r="H25" s="29">
        <v>4</v>
      </c>
      <c r="I25" s="29">
        <v>4</v>
      </c>
      <c r="J25" s="29">
        <v>4</v>
      </c>
      <c r="K25" s="29">
        <v>4</v>
      </c>
      <c r="L25" s="29">
        <v>3</v>
      </c>
      <c r="M25" s="29">
        <v>3</v>
      </c>
      <c r="N25" s="29">
        <v>4</v>
      </c>
      <c r="O25" s="29">
        <v>3</v>
      </c>
      <c r="P25" s="29">
        <v>5</v>
      </c>
      <c r="Q25" s="29">
        <v>4</v>
      </c>
      <c r="R25" s="29">
        <v>4</v>
      </c>
      <c r="S25" s="29">
        <v>4</v>
      </c>
      <c r="T25" s="29">
        <v>3</v>
      </c>
      <c r="U25" s="29">
        <v>3</v>
      </c>
      <c r="V25" s="29">
        <v>3</v>
      </c>
      <c r="W25" s="29">
        <v>3</v>
      </c>
      <c r="X25" s="29">
        <v>3</v>
      </c>
      <c r="Y25" s="29">
        <v>5</v>
      </c>
      <c r="Z25" s="29">
        <v>5</v>
      </c>
      <c r="AA25" s="29">
        <v>4</v>
      </c>
      <c r="AB25" s="29">
        <v>5</v>
      </c>
    </row>
    <row r="26" spans="1:28" x14ac:dyDescent="0.3">
      <c r="A26" s="26">
        <v>23</v>
      </c>
      <c r="B26" s="4"/>
      <c r="C26" s="8" t="s">
        <v>30</v>
      </c>
      <c r="D26" s="4" t="s">
        <v>72</v>
      </c>
      <c r="E26" s="4">
        <v>1</v>
      </c>
      <c r="F26" s="27" t="s">
        <v>36</v>
      </c>
      <c r="G26" s="29">
        <v>3</v>
      </c>
      <c r="H26" s="29">
        <v>5</v>
      </c>
      <c r="I26" s="29">
        <v>3</v>
      </c>
      <c r="J26" s="29">
        <v>3</v>
      </c>
      <c r="K26" s="29">
        <v>3</v>
      </c>
      <c r="L26" s="29">
        <v>4</v>
      </c>
      <c r="M26" s="29">
        <v>4</v>
      </c>
      <c r="N26" s="29">
        <v>3</v>
      </c>
      <c r="O26" s="29">
        <v>4</v>
      </c>
      <c r="P26" s="29">
        <v>4</v>
      </c>
      <c r="Q26" s="29">
        <v>4</v>
      </c>
      <c r="R26" s="29">
        <v>4</v>
      </c>
      <c r="S26" s="29">
        <v>4</v>
      </c>
      <c r="T26" s="29">
        <v>3</v>
      </c>
      <c r="U26" s="29">
        <v>3</v>
      </c>
      <c r="V26" s="29">
        <v>4</v>
      </c>
      <c r="W26" s="29">
        <v>4</v>
      </c>
      <c r="X26" s="29">
        <v>4</v>
      </c>
      <c r="Y26" s="29">
        <v>4</v>
      </c>
      <c r="Z26" s="29">
        <v>4</v>
      </c>
      <c r="AA26" s="29">
        <v>5</v>
      </c>
      <c r="AB26" s="29">
        <v>4</v>
      </c>
    </row>
    <row r="27" spans="1:28" x14ac:dyDescent="0.3">
      <c r="A27" s="26">
        <v>24</v>
      </c>
      <c r="B27" s="4"/>
      <c r="C27" s="8" t="s">
        <v>30</v>
      </c>
      <c r="D27" s="4" t="s">
        <v>74</v>
      </c>
      <c r="E27" s="4">
        <v>1</v>
      </c>
      <c r="F27" s="27" t="s">
        <v>32</v>
      </c>
      <c r="G27" s="29">
        <v>1</v>
      </c>
      <c r="H27" s="29">
        <v>3</v>
      </c>
      <c r="I27" s="29">
        <v>2</v>
      </c>
      <c r="J27" s="29">
        <v>2</v>
      </c>
      <c r="K27" s="29">
        <v>1</v>
      </c>
      <c r="L27" s="29">
        <v>2</v>
      </c>
      <c r="M27" s="29">
        <v>1</v>
      </c>
      <c r="N27" s="29">
        <v>2</v>
      </c>
      <c r="O27" s="29">
        <v>1</v>
      </c>
      <c r="P27" s="29">
        <v>2</v>
      </c>
      <c r="Q27" s="29">
        <v>2</v>
      </c>
      <c r="R27" s="29">
        <v>2</v>
      </c>
      <c r="S27" s="29">
        <v>3</v>
      </c>
      <c r="T27" s="29">
        <v>1</v>
      </c>
      <c r="U27" s="29">
        <v>2</v>
      </c>
      <c r="V27" s="29">
        <v>1</v>
      </c>
      <c r="W27" s="29">
        <v>2</v>
      </c>
      <c r="X27" s="29">
        <v>2</v>
      </c>
      <c r="Y27" s="29">
        <v>3</v>
      </c>
      <c r="Z27" s="29">
        <v>3</v>
      </c>
      <c r="AA27" s="29">
        <v>2</v>
      </c>
      <c r="AB27" s="29">
        <v>3</v>
      </c>
    </row>
    <row r="28" spans="1:28" x14ac:dyDescent="0.3">
      <c r="A28" s="26">
        <v>25</v>
      </c>
      <c r="B28" s="4"/>
      <c r="C28" s="8" t="s">
        <v>30</v>
      </c>
      <c r="D28" s="4" t="s">
        <v>73</v>
      </c>
      <c r="E28" s="4">
        <v>1</v>
      </c>
      <c r="F28" s="27" t="s">
        <v>36</v>
      </c>
      <c r="G28" s="29">
        <v>3</v>
      </c>
      <c r="H28" s="29">
        <v>4</v>
      </c>
      <c r="I28" s="29">
        <v>3</v>
      </c>
      <c r="J28" s="29">
        <v>4</v>
      </c>
      <c r="K28" s="29">
        <v>4</v>
      </c>
      <c r="L28" s="29">
        <v>3</v>
      </c>
      <c r="M28" s="29">
        <v>3</v>
      </c>
      <c r="N28" s="29">
        <v>3</v>
      </c>
      <c r="O28" s="29">
        <v>2</v>
      </c>
      <c r="P28" s="29">
        <v>2</v>
      </c>
      <c r="Q28" s="29">
        <v>4</v>
      </c>
      <c r="R28" s="29">
        <v>3</v>
      </c>
      <c r="S28" s="29">
        <v>3</v>
      </c>
      <c r="T28" s="29">
        <v>3</v>
      </c>
      <c r="U28" s="29">
        <v>2</v>
      </c>
      <c r="V28" s="29">
        <v>3</v>
      </c>
      <c r="W28" s="29">
        <v>4</v>
      </c>
      <c r="X28" s="29">
        <v>3</v>
      </c>
      <c r="Y28" s="29">
        <v>4</v>
      </c>
      <c r="Z28" s="29">
        <v>4</v>
      </c>
      <c r="AA28" s="29">
        <v>3</v>
      </c>
      <c r="AB28" s="29">
        <v>4</v>
      </c>
    </row>
    <row r="29" spans="1:28" x14ac:dyDescent="0.3">
      <c r="A29" s="26">
        <v>26</v>
      </c>
      <c r="B29" s="4"/>
      <c r="C29" s="8" t="s">
        <v>30</v>
      </c>
      <c r="D29" s="4" t="s">
        <v>70</v>
      </c>
      <c r="E29" s="4">
        <v>1</v>
      </c>
      <c r="F29" s="27" t="s">
        <v>32</v>
      </c>
      <c r="G29" s="29">
        <v>4</v>
      </c>
      <c r="H29" s="29">
        <v>4</v>
      </c>
      <c r="I29" s="29">
        <v>4</v>
      </c>
      <c r="J29" s="29">
        <v>3</v>
      </c>
      <c r="K29" s="29">
        <v>4</v>
      </c>
      <c r="L29" s="29">
        <v>4</v>
      </c>
      <c r="M29" s="29">
        <v>4</v>
      </c>
      <c r="N29" s="29">
        <v>4</v>
      </c>
      <c r="O29" s="29">
        <v>4</v>
      </c>
      <c r="P29" s="29">
        <v>4</v>
      </c>
      <c r="Q29" s="29">
        <v>4</v>
      </c>
      <c r="R29" s="29">
        <v>4</v>
      </c>
      <c r="S29" s="29">
        <v>4</v>
      </c>
      <c r="T29" s="29">
        <v>4</v>
      </c>
      <c r="U29" s="29">
        <v>3</v>
      </c>
      <c r="V29" s="29">
        <v>3</v>
      </c>
      <c r="W29" s="29">
        <v>4</v>
      </c>
      <c r="X29" s="29">
        <v>4</v>
      </c>
      <c r="Y29" s="29">
        <v>4</v>
      </c>
      <c r="Z29" s="29">
        <v>4</v>
      </c>
      <c r="AA29" s="29">
        <v>4</v>
      </c>
      <c r="AB29" s="29">
        <v>4</v>
      </c>
    </row>
    <row r="30" spans="1:28" x14ac:dyDescent="0.3">
      <c r="A30" s="26">
        <v>27</v>
      </c>
      <c r="B30" s="4"/>
      <c r="C30" s="8" t="s">
        <v>30</v>
      </c>
      <c r="D30" s="4" t="s">
        <v>70</v>
      </c>
      <c r="E30" s="4">
        <v>2</v>
      </c>
      <c r="F30" s="27" t="s">
        <v>36</v>
      </c>
      <c r="G30" s="29">
        <v>4</v>
      </c>
      <c r="H30" s="29">
        <v>5</v>
      </c>
      <c r="I30" s="29">
        <v>4</v>
      </c>
      <c r="J30" s="29">
        <v>4</v>
      </c>
      <c r="K30" s="29">
        <v>4</v>
      </c>
      <c r="L30" s="29">
        <v>3</v>
      </c>
      <c r="M30" s="29">
        <v>4</v>
      </c>
      <c r="N30" s="29">
        <v>5</v>
      </c>
      <c r="O30" s="29">
        <v>3</v>
      </c>
      <c r="P30" s="29">
        <v>3</v>
      </c>
      <c r="Q30" s="29">
        <v>4</v>
      </c>
      <c r="R30" s="29">
        <v>4</v>
      </c>
      <c r="S30" s="29">
        <v>4</v>
      </c>
      <c r="T30" s="29">
        <v>3</v>
      </c>
      <c r="U30" s="29">
        <v>4</v>
      </c>
      <c r="V30" s="29">
        <v>3</v>
      </c>
      <c r="W30" s="29">
        <v>4</v>
      </c>
      <c r="X30" s="29">
        <v>4</v>
      </c>
      <c r="Y30" s="29">
        <v>5</v>
      </c>
      <c r="Z30" s="29">
        <v>5</v>
      </c>
      <c r="AA30" s="29">
        <v>4</v>
      </c>
      <c r="AB30" s="29">
        <v>5</v>
      </c>
    </row>
    <row r="31" spans="1:28" x14ac:dyDescent="0.3">
      <c r="A31" s="26">
        <v>28</v>
      </c>
      <c r="B31" s="4"/>
      <c r="C31" s="8" t="s">
        <v>30</v>
      </c>
      <c r="D31" s="4" t="s">
        <v>74</v>
      </c>
      <c r="E31" s="4">
        <v>1</v>
      </c>
      <c r="F31" s="27" t="s">
        <v>36</v>
      </c>
      <c r="G31" s="29">
        <v>3</v>
      </c>
      <c r="H31" s="29">
        <v>5</v>
      </c>
      <c r="I31" s="29">
        <v>5</v>
      </c>
      <c r="J31" s="29">
        <v>3</v>
      </c>
      <c r="K31" s="29">
        <v>4</v>
      </c>
      <c r="L31" s="29">
        <v>5</v>
      </c>
      <c r="M31" s="29">
        <v>3</v>
      </c>
      <c r="N31" s="29">
        <v>3</v>
      </c>
      <c r="O31" s="29">
        <v>3</v>
      </c>
      <c r="P31" s="29">
        <v>3</v>
      </c>
      <c r="Q31" s="29">
        <v>5</v>
      </c>
      <c r="R31" s="29">
        <v>4</v>
      </c>
      <c r="S31" s="29">
        <v>3</v>
      </c>
      <c r="T31" s="29">
        <v>1</v>
      </c>
      <c r="U31" s="29">
        <v>4</v>
      </c>
      <c r="V31" s="29">
        <v>4</v>
      </c>
      <c r="W31" s="29">
        <v>4</v>
      </c>
      <c r="X31" s="29">
        <v>4</v>
      </c>
      <c r="Y31" s="29">
        <v>4</v>
      </c>
      <c r="Z31" s="29">
        <v>4</v>
      </c>
      <c r="AA31" s="29">
        <v>4</v>
      </c>
      <c r="AB31" s="29">
        <v>4</v>
      </c>
    </row>
    <row r="32" spans="1:28" x14ac:dyDescent="0.3">
      <c r="A32" s="26">
        <v>29</v>
      </c>
      <c r="B32" s="4"/>
      <c r="C32" s="8"/>
      <c r="D32" s="4"/>
      <c r="E32" s="4"/>
      <c r="F32" s="27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x14ac:dyDescent="0.3">
      <c r="A33" s="26">
        <v>30</v>
      </c>
      <c r="B33" s="4"/>
      <c r="C33" s="8"/>
      <c r="D33" s="4"/>
      <c r="E33" s="4"/>
      <c r="F33" s="27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x14ac:dyDescent="0.3">
      <c r="A34" s="26">
        <v>31</v>
      </c>
      <c r="B34" s="4"/>
      <c r="C34" s="8"/>
      <c r="D34" s="4"/>
      <c r="E34" s="4"/>
      <c r="F34" s="27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x14ac:dyDescent="0.3">
      <c r="A35" s="26">
        <v>32</v>
      </c>
      <c r="B35" s="4"/>
      <c r="C35" s="8"/>
      <c r="D35" s="4"/>
      <c r="E35" s="4"/>
      <c r="F35" s="27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x14ac:dyDescent="0.3">
      <c r="A36" s="26">
        <v>33</v>
      </c>
      <c r="B36" s="4"/>
      <c r="C36" s="8"/>
      <c r="D36" s="4"/>
      <c r="E36" s="4"/>
      <c r="F36" s="27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x14ac:dyDescent="0.3">
      <c r="A37" s="26">
        <v>34</v>
      </c>
      <c r="B37" s="4"/>
      <c r="C37" s="8"/>
      <c r="D37" s="27"/>
      <c r="E37" s="32"/>
      <c r="F37" s="27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x14ac:dyDescent="0.3">
      <c r="A38" s="26">
        <v>35</v>
      </c>
      <c r="B38" s="4"/>
      <c r="C38" s="8"/>
      <c r="D38" s="27"/>
      <c r="E38" s="32"/>
      <c r="F38" s="27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x14ac:dyDescent="0.3">
      <c r="A39" s="26">
        <v>36</v>
      </c>
      <c r="B39" s="4"/>
      <c r="C39" s="8"/>
      <c r="D39" s="27"/>
      <c r="E39" s="32"/>
      <c r="F39" s="27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x14ac:dyDescent="0.3">
      <c r="A40" s="26">
        <v>37</v>
      </c>
      <c r="B40" s="4"/>
      <c r="C40" s="8"/>
      <c r="D40" s="35"/>
      <c r="E40" s="4"/>
      <c r="F40" s="3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x14ac:dyDescent="0.3">
      <c r="A41" s="26">
        <v>38</v>
      </c>
      <c r="B41" s="4"/>
      <c r="C41" s="8"/>
      <c r="D41" s="35"/>
      <c r="E41" s="4"/>
      <c r="F41" s="3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x14ac:dyDescent="0.3">
      <c r="A42" s="26">
        <v>39</v>
      </c>
      <c r="B42" s="4"/>
      <c r="C42" s="8"/>
      <c r="D42" s="35"/>
      <c r="E42" s="4"/>
      <c r="F42" s="3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x14ac:dyDescent="0.3">
      <c r="A43" s="26">
        <v>40</v>
      </c>
      <c r="B43" s="4"/>
      <c r="C43" s="8"/>
      <c r="D43" s="35"/>
      <c r="E43" s="4"/>
      <c r="F43" s="3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x14ac:dyDescent="0.3">
      <c r="A44" s="26">
        <v>41</v>
      </c>
      <c r="B44" s="4"/>
      <c r="C44" s="8"/>
      <c r="D44" s="35"/>
      <c r="E44" s="4"/>
      <c r="F44" s="3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x14ac:dyDescent="0.3">
      <c r="A45" s="26">
        <v>42</v>
      </c>
      <c r="B45" s="4"/>
      <c r="C45" s="8"/>
      <c r="D45" s="35"/>
      <c r="E45" s="4"/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x14ac:dyDescent="0.3">
      <c r="A46" s="26">
        <v>43</v>
      </c>
      <c r="B46" s="4"/>
      <c r="C46" s="8"/>
      <c r="D46" s="35"/>
      <c r="E46" s="4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x14ac:dyDescent="0.3">
      <c r="A47" s="26">
        <v>44</v>
      </c>
      <c r="B47" s="4"/>
      <c r="C47" s="8"/>
      <c r="D47" s="35"/>
      <c r="E47" s="4"/>
      <c r="F47" s="3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x14ac:dyDescent="0.3">
      <c r="A48" s="26">
        <v>45</v>
      </c>
      <c r="B48" s="4"/>
      <c r="C48" s="8"/>
      <c r="D48" s="35"/>
      <c r="E48" s="4"/>
      <c r="F48" s="3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x14ac:dyDescent="0.3">
      <c r="A49" s="26">
        <v>46</v>
      </c>
      <c r="B49" s="4"/>
      <c r="C49" s="8"/>
      <c r="D49" s="35"/>
      <c r="E49" s="4"/>
      <c r="F49" s="3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x14ac:dyDescent="0.3">
      <c r="A50" s="26">
        <v>47</v>
      </c>
      <c r="B50" s="4"/>
      <c r="C50" s="8"/>
      <c r="D50" s="35"/>
      <c r="E50" s="4"/>
      <c r="F50" s="3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x14ac:dyDescent="0.3">
      <c r="A51" s="26">
        <v>48</v>
      </c>
      <c r="B51" s="4"/>
      <c r="C51" s="8"/>
      <c r="D51" s="8"/>
      <c r="E51" s="4"/>
      <c r="F51" s="3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x14ac:dyDescent="0.3">
      <c r="A52" s="26">
        <v>49</v>
      </c>
      <c r="B52" s="4"/>
      <c r="C52" s="8"/>
      <c r="D52" s="35"/>
      <c r="E52" s="4"/>
      <c r="F52" s="3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x14ac:dyDescent="0.3">
      <c r="A53" s="26">
        <v>50</v>
      </c>
      <c r="B53" s="4"/>
      <c r="C53" s="8"/>
      <c r="D53" s="35"/>
      <c r="E53" s="4"/>
      <c r="F53" s="3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x14ac:dyDescent="0.3">
      <c r="A54" s="26">
        <v>51</v>
      </c>
      <c r="B54" s="4"/>
      <c r="C54" s="8"/>
      <c r="D54" s="35"/>
      <c r="E54" s="4"/>
      <c r="F54" s="3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x14ac:dyDescent="0.3">
      <c r="A55" s="26">
        <v>52</v>
      </c>
      <c r="B55" s="4"/>
      <c r="C55" s="8"/>
      <c r="D55" s="35"/>
      <c r="E55" s="4"/>
      <c r="F55" s="3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x14ac:dyDescent="0.3">
      <c r="A56" s="26">
        <v>53</v>
      </c>
      <c r="B56" s="4"/>
      <c r="C56" s="8"/>
      <c r="D56" s="35"/>
      <c r="E56" s="4"/>
      <c r="F56" s="3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x14ac:dyDescent="0.3">
      <c r="A57" s="26">
        <v>54</v>
      </c>
      <c r="B57" s="4"/>
      <c r="C57" s="8"/>
      <c r="D57" s="35"/>
      <c r="E57" s="4"/>
      <c r="F57" s="3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x14ac:dyDescent="0.3">
      <c r="A58" s="26">
        <v>55</v>
      </c>
      <c r="B58" s="4"/>
      <c r="C58" s="8"/>
      <c r="D58" s="35"/>
      <c r="E58" s="4"/>
      <c r="F58" s="3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x14ac:dyDescent="0.3">
      <c r="A59" s="26">
        <v>56</v>
      </c>
      <c r="B59" s="4"/>
      <c r="C59" s="8"/>
      <c r="D59" s="35"/>
      <c r="E59" s="4"/>
      <c r="F59" s="3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x14ac:dyDescent="0.3">
      <c r="A60" s="26">
        <v>57</v>
      </c>
      <c r="B60" s="4"/>
      <c r="C60" s="8"/>
      <c r="D60" s="35"/>
      <c r="E60" s="4"/>
      <c r="F60" s="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x14ac:dyDescent="0.3">
      <c r="A61" s="26">
        <v>58</v>
      </c>
      <c r="B61" s="4"/>
      <c r="C61" s="8"/>
      <c r="D61" s="35"/>
      <c r="E61" s="4"/>
      <c r="F61" s="3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x14ac:dyDescent="0.3">
      <c r="A62" s="26">
        <v>59</v>
      </c>
      <c r="B62" s="4"/>
      <c r="C62" s="8"/>
      <c r="D62" s="35"/>
      <c r="E62" s="4"/>
      <c r="F62" s="3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x14ac:dyDescent="0.3">
      <c r="A63" s="26">
        <v>60</v>
      </c>
      <c r="B63" s="4"/>
      <c r="C63" s="8"/>
      <c r="D63" s="35"/>
      <c r="E63" s="4"/>
      <c r="F63" s="3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x14ac:dyDescent="0.3">
      <c r="A64" s="26">
        <v>61</v>
      </c>
      <c r="B64" s="4"/>
      <c r="C64" s="8"/>
      <c r="D64" s="35"/>
      <c r="E64" s="4"/>
      <c r="F64" s="3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x14ac:dyDescent="0.3">
      <c r="A65" s="26">
        <v>62</v>
      </c>
      <c r="B65" s="4"/>
      <c r="C65" s="8"/>
      <c r="D65" s="35"/>
      <c r="E65" s="4"/>
      <c r="F65" s="3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x14ac:dyDescent="0.3">
      <c r="A66" s="26">
        <v>63</v>
      </c>
      <c r="B66" s="4"/>
      <c r="C66" s="8"/>
      <c r="D66" s="35"/>
      <c r="E66" s="4"/>
      <c r="F66" s="3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x14ac:dyDescent="0.3">
      <c r="A67" s="26">
        <v>64</v>
      </c>
      <c r="B67" s="4"/>
      <c r="C67" s="8"/>
      <c r="D67" s="35"/>
      <c r="E67" s="4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x14ac:dyDescent="0.3">
      <c r="A68" s="26">
        <v>65</v>
      </c>
      <c r="B68" s="4"/>
      <c r="C68" s="8"/>
      <c r="D68" s="35"/>
      <c r="E68" s="4"/>
      <c r="F68" s="3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x14ac:dyDescent="0.3">
      <c r="A69" s="26">
        <v>66</v>
      </c>
      <c r="B69" s="4"/>
      <c r="C69" s="8"/>
      <c r="D69" s="35"/>
      <c r="E69" s="4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x14ac:dyDescent="0.3">
      <c r="A70" s="26">
        <v>67</v>
      </c>
      <c r="B70" s="4"/>
      <c r="C70" s="8"/>
      <c r="D70" s="35"/>
      <c r="E70" s="4"/>
      <c r="F70" s="3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x14ac:dyDescent="0.3">
      <c r="A71" s="26">
        <v>68</v>
      </c>
      <c r="B71" s="4"/>
      <c r="C71" s="8"/>
      <c r="D71" s="35"/>
      <c r="E71" s="4"/>
      <c r="F71" s="3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x14ac:dyDescent="0.3">
      <c r="A72" s="26">
        <v>69</v>
      </c>
      <c r="B72" s="4"/>
      <c r="C72" s="8"/>
      <c r="D72" s="35"/>
      <c r="E72" s="4"/>
      <c r="F72" s="3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x14ac:dyDescent="0.3">
      <c r="A73" s="26">
        <v>70</v>
      </c>
      <c r="B73" s="4"/>
      <c r="C73" s="8"/>
      <c r="D73" s="35"/>
      <c r="E73" s="4"/>
      <c r="F73" s="3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x14ac:dyDescent="0.3">
      <c r="A74" s="26">
        <v>71</v>
      </c>
      <c r="B74" s="4"/>
      <c r="C74" s="8"/>
      <c r="D74" s="35"/>
      <c r="E74" s="4"/>
      <c r="F74" s="3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x14ac:dyDescent="0.3">
      <c r="A75" s="26">
        <v>72</v>
      </c>
      <c r="B75" s="4"/>
      <c r="C75" s="8"/>
      <c r="D75" s="35"/>
      <c r="E75" s="4"/>
      <c r="F75" s="3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x14ac:dyDescent="0.3">
      <c r="A76" s="26">
        <v>73</v>
      </c>
      <c r="B76" s="4"/>
      <c r="C76" s="8"/>
      <c r="D76" s="35"/>
      <c r="E76" s="4"/>
      <c r="F76" s="3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x14ac:dyDescent="0.3">
      <c r="A77" s="26">
        <v>74</v>
      </c>
      <c r="B77" s="4"/>
      <c r="C77" s="8"/>
      <c r="D77" s="35"/>
      <c r="E77" s="4"/>
      <c r="F77" s="3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x14ac:dyDescent="0.3">
      <c r="A78" s="26">
        <v>75</v>
      </c>
      <c r="B78" s="4"/>
      <c r="C78" s="8"/>
      <c r="D78" s="35"/>
      <c r="E78" s="4"/>
      <c r="F78" s="3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x14ac:dyDescent="0.3">
      <c r="A79" s="26">
        <v>76</v>
      </c>
      <c r="B79" s="4"/>
      <c r="C79" s="8"/>
      <c r="D79" s="35"/>
      <c r="E79" s="4"/>
      <c r="F79" s="3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x14ac:dyDescent="0.3">
      <c r="A80" s="26">
        <v>77</v>
      </c>
      <c r="B80" s="4"/>
      <c r="C80" s="8"/>
      <c r="D80" s="35"/>
      <c r="E80" s="4"/>
      <c r="F80" s="3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x14ac:dyDescent="0.3">
      <c r="A81" s="26">
        <v>78</v>
      </c>
      <c r="B81" s="4"/>
      <c r="C81" s="8"/>
      <c r="D81" s="35"/>
      <c r="E81" s="4"/>
      <c r="F81" s="3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x14ac:dyDescent="0.3">
      <c r="A82" s="26">
        <v>79</v>
      </c>
      <c r="B82" s="4"/>
      <c r="C82" s="8"/>
      <c r="D82" s="35"/>
      <c r="E82" s="4"/>
      <c r="F82" s="3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x14ac:dyDescent="0.3">
      <c r="A83" s="26">
        <v>80</v>
      </c>
      <c r="B83" s="4"/>
      <c r="C83" s="8"/>
      <c r="D83" s="35"/>
      <c r="E83" s="4"/>
      <c r="F83" s="3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x14ac:dyDescent="0.3">
      <c r="A84" s="26">
        <v>81</v>
      </c>
      <c r="B84" s="4"/>
      <c r="C84" s="8"/>
      <c r="D84" s="35"/>
      <c r="E84" s="4"/>
      <c r="F84" s="3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x14ac:dyDescent="0.3">
      <c r="A85" s="26">
        <v>82</v>
      </c>
      <c r="B85" s="4"/>
      <c r="C85" s="8"/>
      <c r="D85" s="35"/>
      <c r="E85" s="4"/>
      <c r="F85" s="3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x14ac:dyDescent="0.3">
      <c r="A86" s="26">
        <v>83</v>
      </c>
      <c r="B86" s="4"/>
      <c r="C86" s="8"/>
      <c r="D86" s="35"/>
      <c r="E86" s="4"/>
      <c r="F86" s="3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x14ac:dyDescent="0.3">
      <c r="A87" s="26">
        <v>84</v>
      </c>
      <c r="B87" s="4"/>
      <c r="C87" s="8"/>
      <c r="D87" s="35"/>
      <c r="E87" s="4"/>
      <c r="F87" s="3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x14ac:dyDescent="0.3">
      <c r="A88" s="26">
        <v>85</v>
      </c>
      <c r="B88" s="4"/>
      <c r="C88" s="8"/>
      <c r="D88" s="35"/>
      <c r="E88" s="4"/>
      <c r="F88" s="3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x14ac:dyDescent="0.3">
      <c r="A89" s="26">
        <v>86</v>
      </c>
      <c r="B89" s="4"/>
      <c r="C89" s="8"/>
      <c r="D89" s="35"/>
      <c r="E89" s="4"/>
      <c r="F89" s="3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x14ac:dyDescent="0.3">
      <c r="A90" s="26">
        <v>87</v>
      </c>
      <c r="B90" s="4"/>
      <c r="C90" s="8"/>
      <c r="D90" s="35"/>
      <c r="E90" s="4"/>
      <c r="F90" s="3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x14ac:dyDescent="0.3">
      <c r="A91" s="26">
        <v>88</v>
      </c>
      <c r="B91" s="4"/>
      <c r="C91" s="8"/>
      <c r="D91" s="35"/>
      <c r="E91" s="4"/>
      <c r="F91" s="3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x14ac:dyDescent="0.3">
      <c r="A92" s="26">
        <v>89</v>
      </c>
      <c r="B92" s="4"/>
      <c r="C92" s="8"/>
      <c r="D92" s="35"/>
      <c r="E92" s="4"/>
      <c r="F92" s="3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x14ac:dyDescent="0.3">
      <c r="A93" s="26">
        <v>90</v>
      </c>
      <c r="B93" s="4"/>
      <c r="C93" s="8"/>
      <c r="D93" s="35"/>
      <c r="E93" s="4"/>
      <c r="F93" s="3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x14ac:dyDescent="0.3">
      <c r="A94" s="26">
        <v>91</v>
      </c>
      <c r="B94" s="4"/>
      <c r="C94" s="8"/>
      <c r="D94" s="35"/>
      <c r="E94" s="4"/>
      <c r="F94" s="3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x14ac:dyDescent="0.3">
      <c r="A95" s="26">
        <v>92</v>
      </c>
      <c r="B95" s="4"/>
      <c r="C95" s="8"/>
      <c r="D95" s="35"/>
      <c r="E95" s="4"/>
      <c r="F95" s="3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x14ac:dyDescent="0.3">
      <c r="A96" s="26">
        <v>93</v>
      </c>
      <c r="B96" s="4"/>
      <c r="C96" s="8"/>
      <c r="D96" s="35"/>
      <c r="E96" s="4"/>
      <c r="F96" s="3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x14ac:dyDescent="0.3">
      <c r="A97" s="26">
        <v>94</v>
      </c>
      <c r="B97" s="4"/>
      <c r="C97" s="8"/>
      <c r="D97" s="35"/>
      <c r="E97" s="4"/>
      <c r="F97" s="3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x14ac:dyDescent="0.3">
      <c r="A98" s="26">
        <v>95</v>
      </c>
      <c r="B98" s="4"/>
      <c r="C98" s="8"/>
      <c r="D98" s="35"/>
      <c r="E98" s="4"/>
      <c r="F98" s="3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x14ac:dyDescent="0.3">
      <c r="A99" s="26">
        <v>96</v>
      </c>
      <c r="B99" s="4"/>
      <c r="C99" s="8"/>
      <c r="D99" s="35"/>
      <c r="E99" s="4"/>
      <c r="F99" s="3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x14ac:dyDescent="0.3">
      <c r="A100" s="26">
        <v>97</v>
      </c>
      <c r="B100" s="4"/>
      <c r="C100" s="8"/>
      <c r="D100" s="35"/>
      <c r="E100" s="4"/>
      <c r="F100" s="3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x14ac:dyDescent="0.3">
      <c r="A101" s="26">
        <v>98</v>
      </c>
      <c r="B101" s="4"/>
      <c r="C101" s="8"/>
      <c r="D101" s="35"/>
      <c r="E101" s="4"/>
      <c r="F101" s="3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x14ac:dyDescent="0.3">
      <c r="A102" s="26">
        <v>99</v>
      </c>
      <c r="B102" s="4"/>
      <c r="C102" s="8"/>
      <c r="D102" s="35"/>
      <c r="E102" s="4"/>
      <c r="F102" s="3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x14ac:dyDescent="0.3">
      <c r="A103" s="26">
        <v>100</v>
      </c>
      <c r="B103" s="4"/>
      <c r="C103" s="8"/>
      <c r="D103" s="35"/>
      <c r="E103" s="4"/>
      <c r="F103" s="3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x14ac:dyDescent="0.3">
      <c r="A104" s="26">
        <v>101</v>
      </c>
      <c r="B104" s="4"/>
      <c r="C104" s="8"/>
      <c r="D104" s="35"/>
      <c r="E104" s="4"/>
      <c r="F104" s="3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x14ac:dyDescent="0.3">
      <c r="A105" s="26">
        <v>102</v>
      </c>
      <c r="B105" s="4"/>
      <c r="C105" s="8"/>
      <c r="D105" s="35"/>
      <c r="E105" s="4"/>
      <c r="F105" s="3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x14ac:dyDescent="0.3">
      <c r="A106" s="26">
        <v>103</v>
      </c>
      <c r="B106" s="4"/>
      <c r="C106" s="8"/>
      <c r="D106" s="35"/>
      <c r="E106" s="4"/>
      <c r="F106" s="3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x14ac:dyDescent="0.3">
      <c r="A107" s="26">
        <v>104</v>
      </c>
      <c r="B107" s="4"/>
      <c r="C107" s="8"/>
      <c r="D107" s="35"/>
      <c r="E107" s="4"/>
      <c r="F107" s="3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x14ac:dyDescent="0.3">
      <c r="A108" s="26">
        <v>105</v>
      </c>
      <c r="B108" s="4"/>
      <c r="C108" s="8"/>
      <c r="D108" s="35"/>
      <c r="E108" s="4"/>
      <c r="F108" s="3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x14ac:dyDescent="0.3">
      <c r="A109" s="26">
        <v>106</v>
      </c>
      <c r="B109" s="4"/>
      <c r="C109" s="8"/>
      <c r="D109" s="35"/>
      <c r="E109" s="4"/>
      <c r="F109" s="3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x14ac:dyDescent="0.3">
      <c r="A110" s="26">
        <v>107</v>
      </c>
      <c r="B110" s="4"/>
      <c r="C110" s="8"/>
      <c r="D110" s="35"/>
      <c r="E110" s="4"/>
      <c r="F110" s="3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x14ac:dyDescent="0.3">
      <c r="A111" s="26">
        <v>108</v>
      </c>
      <c r="B111" s="4"/>
      <c r="C111" s="8"/>
      <c r="D111" s="35"/>
      <c r="E111" s="4"/>
      <c r="F111" s="3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x14ac:dyDescent="0.3">
      <c r="A112" s="26">
        <v>109</v>
      </c>
      <c r="B112" s="4"/>
      <c r="C112" s="8"/>
      <c r="D112" s="35"/>
      <c r="E112" s="4"/>
      <c r="F112" s="3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x14ac:dyDescent="0.3">
      <c r="A113" s="26">
        <v>110</v>
      </c>
      <c r="B113" s="4"/>
      <c r="C113" s="8"/>
      <c r="D113" s="35"/>
      <c r="E113" s="4"/>
      <c r="F113" s="3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x14ac:dyDescent="0.3">
      <c r="A114" s="26">
        <v>111</v>
      </c>
      <c r="B114" s="4"/>
      <c r="C114" s="8"/>
      <c r="D114" s="35"/>
      <c r="E114" s="4"/>
      <c r="F114" s="3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x14ac:dyDescent="0.3">
      <c r="A115" s="26">
        <v>112</v>
      </c>
      <c r="B115" s="4"/>
      <c r="C115" s="8"/>
      <c r="D115" s="35"/>
      <c r="E115" s="4"/>
      <c r="F115" s="3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x14ac:dyDescent="0.3">
      <c r="A116" s="26">
        <v>113</v>
      </c>
      <c r="B116" s="4"/>
      <c r="C116" s="8"/>
      <c r="D116" s="35"/>
      <c r="E116" s="4"/>
      <c r="F116" s="3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x14ac:dyDescent="0.3">
      <c r="A117" s="26">
        <v>114</v>
      </c>
      <c r="B117" s="4"/>
      <c r="C117" s="8"/>
      <c r="D117" s="35"/>
      <c r="E117" s="4"/>
      <c r="F117" s="3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x14ac:dyDescent="0.3">
      <c r="A118" s="26">
        <v>115</v>
      </c>
      <c r="B118" s="4"/>
      <c r="C118" s="8"/>
      <c r="D118" s="35"/>
      <c r="E118" s="4"/>
      <c r="F118" s="3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x14ac:dyDescent="0.3">
      <c r="A119" s="26">
        <v>116</v>
      </c>
      <c r="B119" s="4"/>
      <c r="C119" s="8"/>
      <c r="D119" s="35"/>
      <c r="E119" s="4"/>
      <c r="F119" s="3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x14ac:dyDescent="0.3">
      <c r="A120" s="26">
        <v>117</v>
      </c>
      <c r="B120" s="4"/>
      <c r="C120" s="8"/>
      <c r="D120" s="35"/>
      <c r="E120" s="4"/>
      <c r="F120" s="3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x14ac:dyDescent="0.3">
      <c r="A121" s="26">
        <v>118</v>
      </c>
      <c r="B121" s="4"/>
      <c r="C121" s="8"/>
      <c r="D121" s="35"/>
      <c r="E121" s="4"/>
      <c r="F121" s="3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x14ac:dyDescent="0.3">
      <c r="A122" s="26">
        <v>119</v>
      </c>
      <c r="B122" s="4"/>
      <c r="C122" s="8"/>
      <c r="D122" s="35"/>
      <c r="E122" s="4"/>
      <c r="F122" s="3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x14ac:dyDescent="0.3">
      <c r="A123" s="26">
        <v>120</v>
      </c>
      <c r="B123" s="4"/>
      <c r="C123" s="8"/>
      <c r="D123" s="35"/>
      <c r="E123" s="4"/>
      <c r="F123" s="3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x14ac:dyDescent="0.3">
      <c r="A124" s="26">
        <v>121</v>
      </c>
      <c r="B124" s="4"/>
      <c r="C124" s="8"/>
      <c r="D124" s="35"/>
      <c r="E124" s="4"/>
      <c r="F124" s="3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x14ac:dyDescent="0.3">
      <c r="A125" s="26">
        <v>122</v>
      </c>
      <c r="B125" s="4"/>
      <c r="C125" s="8"/>
      <c r="D125" s="35"/>
      <c r="E125" s="4"/>
      <c r="F125" s="3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x14ac:dyDescent="0.3">
      <c r="A126" s="26">
        <v>123</v>
      </c>
      <c r="B126" s="4"/>
      <c r="C126" s="8"/>
      <c r="D126" s="35"/>
      <c r="E126" s="4"/>
      <c r="F126" s="3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x14ac:dyDescent="0.3">
      <c r="A127" s="26">
        <v>124</v>
      </c>
      <c r="B127" s="4"/>
      <c r="C127" s="8"/>
      <c r="D127" s="35"/>
      <c r="E127" s="4"/>
      <c r="F127" s="3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x14ac:dyDescent="0.3">
      <c r="A128" s="26">
        <v>125</v>
      </c>
      <c r="B128" s="4"/>
      <c r="C128" s="8"/>
      <c r="D128" s="35"/>
      <c r="E128" s="4"/>
      <c r="F128" s="3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x14ac:dyDescent="0.3">
      <c r="A129" s="26">
        <v>126</v>
      </c>
      <c r="B129" s="4"/>
      <c r="C129" s="8"/>
      <c r="D129" s="35"/>
      <c r="E129" s="4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x14ac:dyDescent="0.3">
      <c r="A130" s="26">
        <v>127</v>
      </c>
      <c r="B130" s="4"/>
      <c r="C130" s="8"/>
      <c r="D130" s="35"/>
      <c r="E130" s="4"/>
      <c r="F130" s="3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x14ac:dyDescent="0.3">
      <c r="A131" s="26">
        <v>128</v>
      </c>
      <c r="B131" s="4"/>
      <c r="C131" s="8"/>
      <c r="D131" s="35"/>
      <c r="E131" s="4"/>
      <c r="F131" s="3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x14ac:dyDescent="0.3">
      <c r="A132" s="26">
        <v>129</v>
      </c>
      <c r="B132" s="4"/>
      <c r="C132" s="8"/>
      <c r="D132" s="35"/>
      <c r="E132" s="4"/>
      <c r="F132" s="3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x14ac:dyDescent="0.3">
      <c r="A133" s="26">
        <v>130</v>
      </c>
      <c r="B133" s="4"/>
      <c r="C133" s="8"/>
      <c r="D133" s="35"/>
      <c r="E133" s="4"/>
      <c r="F133" s="3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x14ac:dyDescent="0.3">
      <c r="A134" s="26">
        <v>131</v>
      </c>
      <c r="B134" s="4"/>
      <c r="C134" s="8"/>
      <c r="D134" s="35"/>
      <c r="E134" s="4"/>
      <c r="F134" s="3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x14ac:dyDescent="0.3">
      <c r="A135" s="26">
        <v>132</v>
      </c>
      <c r="B135" s="4"/>
      <c r="C135" s="8"/>
      <c r="D135" s="35"/>
      <c r="E135" s="4"/>
      <c r="F135" s="3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x14ac:dyDescent="0.3">
      <c r="A136" s="26">
        <v>133</v>
      </c>
      <c r="B136" s="4"/>
      <c r="C136" s="8"/>
      <c r="D136" s="35"/>
      <c r="E136" s="4"/>
      <c r="F136" s="3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x14ac:dyDescent="0.3">
      <c r="A137" s="26">
        <v>134</v>
      </c>
      <c r="B137" s="4"/>
      <c r="C137" s="8"/>
      <c r="D137" s="35"/>
      <c r="E137" s="4"/>
      <c r="F137" s="3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x14ac:dyDescent="0.3">
      <c r="A138" s="26">
        <v>135</v>
      </c>
      <c r="B138" s="4"/>
      <c r="C138" s="8"/>
      <c r="D138" s="35"/>
      <c r="E138" s="4"/>
      <c r="F138" s="3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x14ac:dyDescent="0.3">
      <c r="A139" s="26">
        <v>136</v>
      </c>
      <c r="B139" s="4"/>
      <c r="C139" s="8"/>
      <c r="D139" s="35"/>
      <c r="E139" s="4"/>
      <c r="F139" s="3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x14ac:dyDescent="0.3">
      <c r="A140" s="26">
        <v>137</v>
      </c>
      <c r="B140" s="4"/>
      <c r="C140" s="8"/>
      <c r="D140" s="35"/>
      <c r="E140" s="4"/>
      <c r="F140" s="3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x14ac:dyDescent="0.3">
      <c r="A141" s="26">
        <v>138</v>
      </c>
      <c r="B141" s="4"/>
      <c r="C141" s="8"/>
      <c r="D141" s="35"/>
      <c r="E141" s="4"/>
      <c r="F141" s="3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x14ac:dyDescent="0.3">
      <c r="A142" s="26">
        <v>139</v>
      </c>
      <c r="B142" s="4"/>
      <c r="C142" s="8"/>
      <c r="D142" s="35"/>
      <c r="E142" s="4"/>
      <c r="F142" s="3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x14ac:dyDescent="0.3">
      <c r="A143" s="26">
        <v>140</v>
      </c>
      <c r="B143" s="4"/>
      <c r="C143" s="8"/>
      <c r="D143" s="35"/>
      <c r="E143" s="4"/>
      <c r="F143" s="3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x14ac:dyDescent="0.3">
      <c r="A144" s="26">
        <v>141</v>
      </c>
      <c r="B144" s="4"/>
      <c r="C144" s="8"/>
      <c r="D144" s="35"/>
      <c r="E144" s="4"/>
      <c r="F144" s="3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x14ac:dyDescent="0.3">
      <c r="A145" s="26">
        <v>142</v>
      </c>
      <c r="B145" s="4"/>
      <c r="C145" s="8"/>
      <c r="D145" s="35"/>
      <c r="E145" s="4"/>
      <c r="F145" s="3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x14ac:dyDescent="0.3">
      <c r="A146" s="26">
        <v>143</v>
      </c>
      <c r="B146" s="4"/>
      <c r="C146" s="8"/>
      <c r="D146" s="35"/>
      <c r="E146" s="4"/>
      <c r="F146" s="3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x14ac:dyDescent="0.3">
      <c r="A147" s="26">
        <v>144</v>
      </c>
      <c r="B147" s="4"/>
      <c r="C147" s="8"/>
      <c r="D147" s="35"/>
      <c r="E147" s="4"/>
      <c r="F147" s="3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x14ac:dyDescent="0.3">
      <c r="A148" s="26">
        <v>145</v>
      </c>
      <c r="B148" s="4"/>
      <c r="C148" s="8"/>
      <c r="D148" s="35"/>
      <c r="E148" s="4"/>
      <c r="F148" s="3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x14ac:dyDescent="0.3">
      <c r="A149" s="26">
        <v>146</v>
      </c>
      <c r="B149" s="4"/>
      <c r="C149" s="8"/>
      <c r="D149" s="35"/>
      <c r="E149" s="4"/>
      <c r="F149" s="3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x14ac:dyDescent="0.3">
      <c r="A150" s="26">
        <v>147</v>
      </c>
      <c r="B150" s="4"/>
      <c r="C150" s="8"/>
      <c r="D150" s="35"/>
      <c r="E150" s="4"/>
      <c r="F150" s="3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x14ac:dyDescent="0.3">
      <c r="A151" s="26">
        <v>148</v>
      </c>
      <c r="B151" s="4"/>
      <c r="C151" s="8"/>
      <c r="D151" s="27"/>
      <c r="E151" s="32"/>
      <c r="F151" s="27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x14ac:dyDescent="0.3">
      <c r="A152" s="26">
        <v>149</v>
      </c>
      <c r="B152" s="4"/>
      <c r="C152" s="8"/>
      <c r="D152" s="27"/>
      <c r="E152" s="32"/>
      <c r="F152" s="27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x14ac:dyDescent="0.3">
      <c r="A153" s="26">
        <v>150</v>
      </c>
      <c r="B153" s="4"/>
      <c r="C153" s="8"/>
      <c r="D153" s="27"/>
      <c r="E153" s="32"/>
      <c r="F153" s="27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x14ac:dyDescent="0.3">
      <c r="A154" s="26">
        <v>151</v>
      </c>
      <c r="B154" s="4"/>
      <c r="C154" s="8"/>
      <c r="D154" s="27"/>
      <c r="E154" s="32"/>
      <c r="F154" s="27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x14ac:dyDescent="0.3">
      <c r="A155" s="26">
        <v>152</v>
      </c>
      <c r="B155" s="4"/>
      <c r="C155" s="8"/>
      <c r="D155" s="27"/>
      <c r="E155" s="32"/>
      <c r="F155" s="27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x14ac:dyDescent="0.3">
      <c r="A156" s="26">
        <v>153</v>
      </c>
      <c r="B156" s="4"/>
      <c r="C156" s="8"/>
      <c r="D156" s="27"/>
      <c r="E156" s="32"/>
      <c r="F156" s="27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x14ac:dyDescent="0.3">
      <c r="A157" s="26">
        <v>154</v>
      </c>
      <c r="B157" s="4"/>
      <c r="C157" s="8"/>
      <c r="D157" s="27"/>
      <c r="E157" s="32"/>
      <c r="F157" s="27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x14ac:dyDescent="0.3">
      <c r="A158" s="26">
        <v>155</v>
      </c>
      <c r="B158" s="4"/>
      <c r="C158" s="8"/>
      <c r="D158" s="27"/>
      <c r="E158" s="32"/>
      <c r="F158" s="27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x14ac:dyDescent="0.3">
      <c r="A159" s="26">
        <v>156</v>
      </c>
      <c r="B159" s="4"/>
      <c r="C159" s="8"/>
      <c r="D159" s="27"/>
      <c r="E159" s="32"/>
      <c r="F159" s="27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x14ac:dyDescent="0.3">
      <c r="A160" s="26">
        <v>157</v>
      </c>
      <c r="B160" s="4"/>
      <c r="C160" s="8"/>
      <c r="D160" s="27"/>
      <c r="E160" s="32"/>
      <c r="F160" s="27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x14ac:dyDescent="0.3">
      <c r="A161" s="26">
        <v>158</v>
      </c>
      <c r="B161" s="4"/>
      <c r="C161" s="8"/>
      <c r="D161" s="27"/>
      <c r="E161" s="32"/>
      <c r="F161" s="27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x14ac:dyDescent="0.3">
      <c r="A162" s="26">
        <v>159</v>
      </c>
      <c r="B162" s="4"/>
      <c r="C162" s="8"/>
      <c r="D162" s="27"/>
      <c r="E162" s="32"/>
      <c r="F162" s="27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x14ac:dyDescent="0.3">
      <c r="A163" s="26">
        <v>160</v>
      </c>
      <c r="B163" s="4"/>
      <c r="C163" s="8"/>
      <c r="D163" s="27"/>
      <c r="E163" s="32"/>
      <c r="F163" s="27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x14ac:dyDescent="0.3">
      <c r="A164" s="26">
        <v>161</v>
      </c>
      <c r="B164" s="4"/>
      <c r="C164" s="8"/>
      <c r="D164" s="27"/>
      <c r="E164" s="32"/>
      <c r="F164" s="27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x14ac:dyDescent="0.3">
      <c r="A165" s="26">
        <v>162</v>
      </c>
      <c r="B165" s="4"/>
      <c r="C165" s="8"/>
      <c r="D165" s="27"/>
      <c r="E165" s="32"/>
      <c r="F165" s="27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x14ac:dyDescent="0.3">
      <c r="A166" s="26">
        <v>163</v>
      </c>
      <c r="B166" s="4"/>
      <c r="C166" s="8"/>
      <c r="D166" s="27"/>
      <c r="E166" s="32"/>
      <c r="F166" s="27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x14ac:dyDescent="0.3">
      <c r="A167" s="26">
        <v>164</v>
      </c>
      <c r="B167" s="4"/>
      <c r="C167" s="8"/>
      <c r="D167" s="27"/>
      <c r="E167" s="32"/>
      <c r="F167" s="27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x14ac:dyDescent="0.3">
      <c r="A168" s="26">
        <v>165</v>
      </c>
      <c r="B168" s="4"/>
      <c r="C168" s="8"/>
      <c r="D168" s="27"/>
      <c r="E168" s="32"/>
      <c r="F168" s="27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x14ac:dyDescent="0.3">
      <c r="A169" s="26">
        <v>166</v>
      </c>
      <c r="B169" s="4"/>
      <c r="C169" s="8"/>
      <c r="D169" s="27"/>
      <c r="E169" s="32"/>
      <c r="F169" s="27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x14ac:dyDescent="0.3">
      <c r="A170" s="26">
        <v>167</v>
      </c>
      <c r="B170" s="4"/>
      <c r="C170" s="8"/>
      <c r="D170" s="27"/>
      <c r="E170" s="32"/>
      <c r="F170" s="27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x14ac:dyDescent="0.3">
      <c r="A171" s="26">
        <v>168</v>
      </c>
      <c r="B171" s="4"/>
      <c r="C171" s="8"/>
      <c r="D171" s="27"/>
      <c r="E171" s="32"/>
      <c r="F171" s="27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x14ac:dyDescent="0.3">
      <c r="A172" s="26">
        <v>169</v>
      </c>
      <c r="B172" s="4"/>
      <c r="C172" s="8"/>
      <c r="D172" s="27"/>
      <c r="E172" s="32"/>
      <c r="F172" s="27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x14ac:dyDescent="0.3">
      <c r="A173" s="26">
        <v>170</v>
      </c>
      <c r="B173" s="4"/>
      <c r="C173" s="8"/>
      <c r="D173" s="27"/>
      <c r="E173" s="32"/>
      <c r="F173" s="27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x14ac:dyDescent="0.3">
      <c r="A174" s="26">
        <v>171</v>
      </c>
      <c r="B174" s="4"/>
      <c r="C174" s="8"/>
      <c r="D174" s="27"/>
      <c r="E174" s="32"/>
      <c r="F174" s="27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x14ac:dyDescent="0.3">
      <c r="A175" s="26">
        <v>172</v>
      </c>
      <c r="B175" s="4"/>
      <c r="C175" s="8"/>
      <c r="D175" s="27"/>
      <c r="E175" s="32"/>
      <c r="F175" s="27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x14ac:dyDescent="0.3">
      <c r="A176" s="26">
        <v>173</v>
      </c>
      <c r="B176" s="4"/>
      <c r="C176" s="8"/>
      <c r="D176" s="27"/>
      <c r="E176" s="32"/>
      <c r="F176" s="27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x14ac:dyDescent="0.3">
      <c r="A177" s="26">
        <v>174</v>
      </c>
      <c r="B177" s="4"/>
      <c r="C177" s="8"/>
      <c r="D177" s="27"/>
      <c r="E177" s="32"/>
      <c r="F177" s="27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x14ac:dyDescent="0.3">
      <c r="A178" s="26">
        <v>175</v>
      </c>
      <c r="B178" s="4"/>
      <c r="C178" s="8"/>
      <c r="D178" s="27"/>
      <c r="E178" s="32"/>
      <c r="F178" s="27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x14ac:dyDescent="0.3">
      <c r="A179" s="26">
        <v>176</v>
      </c>
      <c r="B179" s="4"/>
      <c r="C179" s="8"/>
      <c r="D179" s="27"/>
      <c r="E179" s="32"/>
      <c r="F179" s="27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x14ac:dyDescent="0.3">
      <c r="A180" s="26">
        <v>177</v>
      </c>
      <c r="B180" s="4"/>
      <c r="C180" s="8"/>
      <c r="D180" s="27"/>
      <c r="E180" s="32"/>
      <c r="F180" s="27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x14ac:dyDescent="0.3">
      <c r="A181" s="26">
        <v>178</v>
      </c>
      <c r="B181" s="4"/>
      <c r="C181" s="8"/>
      <c r="D181" s="27"/>
      <c r="E181" s="32"/>
      <c r="F181" s="27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x14ac:dyDescent="0.3">
      <c r="A182" s="26">
        <v>179</v>
      </c>
      <c r="B182" s="4"/>
      <c r="C182" s="8"/>
      <c r="D182" s="27"/>
      <c r="E182" s="32"/>
      <c r="F182" s="27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x14ac:dyDescent="0.3">
      <c r="A183" s="26">
        <v>180</v>
      </c>
      <c r="B183" s="4"/>
      <c r="C183" s="8"/>
      <c r="D183" s="27"/>
      <c r="E183" s="32"/>
      <c r="F183" s="27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x14ac:dyDescent="0.3">
      <c r="A184" s="26">
        <v>181</v>
      </c>
      <c r="B184" s="4"/>
      <c r="C184" s="8"/>
      <c r="D184" s="27"/>
      <c r="E184" s="32"/>
      <c r="F184" s="27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x14ac:dyDescent="0.3">
      <c r="A185" s="26">
        <v>182</v>
      </c>
      <c r="B185" s="4"/>
      <c r="C185" s="8"/>
      <c r="D185" s="27"/>
      <c r="E185" s="32"/>
      <c r="F185" s="27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x14ac:dyDescent="0.3">
      <c r="A186" s="26">
        <v>183</v>
      </c>
      <c r="B186" s="4"/>
      <c r="C186" s="8"/>
      <c r="D186" s="27"/>
      <c r="E186" s="32"/>
      <c r="F186" s="27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x14ac:dyDescent="0.3">
      <c r="A187" s="26">
        <v>184</v>
      </c>
      <c r="B187" s="4"/>
      <c r="C187" s="8"/>
      <c r="D187" s="27"/>
      <c r="E187" s="32"/>
      <c r="F187" s="27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x14ac:dyDescent="0.3">
      <c r="A188" s="26">
        <v>185</v>
      </c>
      <c r="B188" s="4"/>
      <c r="C188" s="8"/>
      <c r="D188" s="27"/>
      <c r="E188" s="32"/>
      <c r="F188" s="27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x14ac:dyDescent="0.3">
      <c r="A189" s="26">
        <v>186</v>
      </c>
      <c r="B189" s="4"/>
      <c r="C189" s="8"/>
      <c r="D189" s="27"/>
      <c r="E189" s="32"/>
      <c r="F189" s="27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x14ac:dyDescent="0.3">
      <c r="A190" s="26">
        <v>187</v>
      </c>
      <c r="B190" s="4"/>
      <c r="C190" s="8"/>
      <c r="D190" s="27"/>
      <c r="E190" s="32"/>
      <c r="F190" s="27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x14ac:dyDescent="0.3">
      <c r="A191" s="26">
        <v>188</v>
      </c>
      <c r="B191" s="4"/>
      <c r="C191" s="8"/>
      <c r="D191" s="27"/>
      <c r="E191" s="32"/>
      <c r="F191" s="27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x14ac:dyDescent="0.3">
      <c r="A192" s="26">
        <v>189</v>
      </c>
      <c r="B192" s="4"/>
      <c r="C192" s="8"/>
      <c r="D192" s="27"/>
      <c r="E192" s="32"/>
      <c r="F192" s="27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x14ac:dyDescent="0.3">
      <c r="A193" s="26">
        <v>190</v>
      </c>
      <c r="B193" s="4"/>
      <c r="C193" s="8"/>
      <c r="D193" s="27"/>
      <c r="E193" s="32"/>
      <c r="F193" s="27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x14ac:dyDescent="0.3">
      <c r="A194" s="26">
        <v>191</v>
      </c>
      <c r="B194" s="4"/>
      <c r="C194" s="8"/>
      <c r="D194" s="27"/>
      <c r="E194" s="32"/>
      <c r="F194" s="27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x14ac:dyDescent="0.3">
      <c r="A195" s="26">
        <v>192</v>
      </c>
      <c r="B195" s="4"/>
      <c r="C195" s="8"/>
      <c r="D195" s="27"/>
      <c r="E195" s="32"/>
      <c r="F195" s="27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x14ac:dyDescent="0.3">
      <c r="A196" s="26">
        <v>193</v>
      </c>
      <c r="B196" s="4"/>
      <c r="C196" s="8"/>
      <c r="D196" s="27"/>
      <c r="E196" s="32"/>
      <c r="F196" s="27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x14ac:dyDescent="0.3">
      <c r="A197" s="26">
        <v>194</v>
      </c>
      <c r="B197" s="4"/>
      <c r="C197" s="8"/>
      <c r="D197" s="27"/>
      <c r="E197" s="32"/>
      <c r="F197" s="27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x14ac:dyDescent="0.3">
      <c r="A198" s="26">
        <v>195</v>
      </c>
      <c r="B198" s="4"/>
      <c r="C198" s="8"/>
      <c r="D198" s="27"/>
      <c r="E198" s="32"/>
      <c r="F198" s="27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x14ac:dyDescent="0.3">
      <c r="A199" s="26">
        <v>196</v>
      </c>
      <c r="B199" s="4"/>
      <c r="C199" s="8"/>
      <c r="D199" s="27"/>
      <c r="E199" s="32"/>
      <c r="F199" s="27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x14ac:dyDescent="0.3">
      <c r="A200" s="26">
        <v>197</v>
      </c>
      <c r="B200" s="4"/>
      <c r="C200" s="8"/>
      <c r="D200" s="27"/>
      <c r="E200" s="32"/>
      <c r="F200" s="27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x14ac:dyDescent="0.3">
      <c r="A201" s="26">
        <v>198</v>
      </c>
      <c r="B201" s="4"/>
      <c r="C201" s="8"/>
      <c r="D201" s="27"/>
      <c r="E201" s="32"/>
      <c r="F201" s="27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x14ac:dyDescent="0.3">
      <c r="A202" s="26">
        <v>199</v>
      </c>
      <c r="B202" s="4"/>
      <c r="C202" s="8"/>
      <c r="D202" s="27"/>
      <c r="E202" s="32"/>
      <c r="F202" s="27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x14ac:dyDescent="0.3">
      <c r="A203" s="26">
        <v>200</v>
      </c>
      <c r="B203" s="4"/>
      <c r="C203" s="8"/>
      <c r="D203" s="27"/>
      <c r="E203" s="32"/>
      <c r="F203" s="27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x14ac:dyDescent="0.3">
      <c r="A204" s="26">
        <v>201</v>
      </c>
      <c r="B204" s="4"/>
      <c r="C204" s="8"/>
      <c r="D204" s="27"/>
      <c r="E204" s="32"/>
      <c r="F204" s="27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x14ac:dyDescent="0.3">
      <c r="A205" s="26">
        <v>202</v>
      </c>
      <c r="B205" s="4"/>
      <c r="C205" s="8"/>
      <c r="D205" s="27"/>
      <c r="E205" s="32"/>
      <c r="F205" s="27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x14ac:dyDescent="0.3">
      <c r="A206" s="26">
        <v>203</v>
      </c>
      <c r="B206" s="4"/>
      <c r="C206" s="8"/>
      <c r="D206" s="27"/>
      <c r="E206" s="32"/>
      <c r="F206" s="27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x14ac:dyDescent="0.3">
      <c r="A207" s="26">
        <v>204</v>
      </c>
      <c r="B207" s="4"/>
      <c r="C207" s="8"/>
      <c r="D207" s="27"/>
      <c r="E207" s="32"/>
      <c r="F207" s="27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x14ac:dyDescent="0.3">
      <c r="A208" s="26">
        <v>205</v>
      </c>
      <c r="B208" s="4"/>
      <c r="C208" s="8"/>
      <c r="D208" s="27"/>
      <c r="E208" s="32"/>
      <c r="F208" s="27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x14ac:dyDescent="0.3">
      <c r="A209" s="26">
        <v>206</v>
      </c>
      <c r="B209" s="4"/>
      <c r="C209" s="8"/>
      <c r="D209" s="27"/>
      <c r="E209" s="32"/>
      <c r="F209" s="27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x14ac:dyDescent="0.3">
      <c r="A210" s="26">
        <v>207</v>
      </c>
      <c r="B210" s="4"/>
      <c r="C210" s="8"/>
      <c r="D210" s="27"/>
      <c r="E210" s="32"/>
      <c r="F210" s="27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x14ac:dyDescent="0.3">
      <c r="A211" s="26">
        <v>208</v>
      </c>
      <c r="B211" s="4"/>
      <c r="C211" s="8"/>
      <c r="D211" s="27"/>
      <c r="E211" s="32"/>
      <c r="F211" s="27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x14ac:dyDescent="0.3">
      <c r="A212" s="26">
        <v>209</v>
      </c>
      <c r="B212" s="4"/>
      <c r="C212" s="8"/>
      <c r="D212" s="27"/>
      <c r="E212" s="32"/>
      <c r="F212" s="27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x14ac:dyDescent="0.3">
      <c r="A213" s="26">
        <v>210</v>
      </c>
      <c r="B213" s="4"/>
      <c r="C213" s="8"/>
      <c r="D213" s="27"/>
      <c r="E213" s="32"/>
      <c r="F213" s="27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x14ac:dyDescent="0.3">
      <c r="A214" s="26">
        <v>211</v>
      </c>
      <c r="B214" s="4"/>
      <c r="C214" s="8"/>
      <c r="D214" s="27"/>
      <c r="E214" s="32"/>
      <c r="F214" s="27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x14ac:dyDescent="0.3">
      <c r="A215" s="26">
        <v>212</v>
      </c>
      <c r="B215" s="4"/>
      <c r="C215" s="8"/>
      <c r="D215" s="27"/>
      <c r="E215" s="32"/>
      <c r="F215" s="27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x14ac:dyDescent="0.3">
      <c r="A216" s="26">
        <v>213</v>
      </c>
      <c r="B216" s="4"/>
      <c r="C216" s="8"/>
      <c r="D216" s="27"/>
      <c r="E216" s="32"/>
      <c r="F216" s="27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x14ac:dyDescent="0.3">
      <c r="A217" s="26">
        <v>214</v>
      </c>
      <c r="B217" s="4"/>
      <c r="C217" s="8"/>
      <c r="D217" s="27"/>
      <c r="E217" s="32"/>
      <c r="F217" s="27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x14ac:dyDescent="0.3">
      <c r="A218" s="26">
        <v>215</v>
      </c>
      <c r="B218" s="4"/>
      <c r="C218" s="8"/>
      <c r="D218" s="27"/>
      <c r="E218" s="32"/>
      <c r="F218" s="27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x14ac:dyDescent="0.3">
      <c r="A219" s="26">
        <v>216</v>
      </c>
      <c r="B219" s="4"/>
      <c r="C219" s="8"/>
      <c r="D219" s="27"/>
      <c r="E219" s="32"/>
      <c r="F219" s="27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x14ac:dyDescent="0.3">
      <c r="A220" s="26">
        <v>217</v>
      </c>
      <c r="B220" s="4"/>
      <c r="C220" s="8"/>
      <c r="D220" s="27"/>
      <c r="E220" s="32"/>
      <c r="F220" s="27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x14ac:dyDescent="0.3">
      <c r="A221" s="26">
        <v>218</v>
      </c>
      <c r="B221" s="4"/>
      <c r="C221" s="8"/>
      <c r="D221" s="27"/>
      <c r="E221" s="32"/>
      <c r="F221" s="27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x14ac:dyDescent="0.3">
      <c r="A222" s="26">
        <v>219</v>
      </c>
      <c r="B222" s="4"/>
      <c r="C222" s="8"/>
      <c r="D222" s="27"/>
      <c r="E222" s="32"/>
      <c r="F222" s="27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x14ac:dyDescent="0.3">
      <c r="A223" s="26">
        <v>220</v>
      </c>
      <c r="B223" s="4"/>
      <c r="C223" s="8"/>
      <c r="D223" s="27"/>
      <c r="E223" s="32"/>
      <c r="F223" s="27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x14ac:dyDescent="0.3">
      <c r="A224" s="26">
        <v>221</v>
      </c>
      <c r="B224" s="4"/>
      <c r="C224" s="8"/>
      <c r="D224" s="27"/>
      <c r="E224" s="32"/>
      <c r="F224" s="27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x14ac:dyDescent="0.3">
      <c r="A225" s="26">
        <v>222</v>
      </c>
      <c r="B225" s="4"/>
      <c r="C225" s="8"/>
      <c r="D225" s="27"/>
      <c r="E225" s="32"/>
      <c r="F225" s="27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x14ac:dyDescent="0.3">
      <c r="A226" s="26">
        <v>223</v>
      </c>
      <c r="B226" s="4"/>
      <c r="C226" s="8"/>
      <c r="D226" s="27"/>
      <c r="E226" s="32"/>
      <c r="F226" s="27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x14ac:dyDescent="0.3">
      <c r="A227" s="26">
        <v>224</v>
      </c>
      <c r="B227" s="4"/>
      <c r="C227" s="8"/>
      <c r="D227" s="27"/>
      <c r="E227" s="32"/>
      <c r="F227" s="27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x14ac:dyDescent="0.3">
      <c r="A228" s="26">
        <v>225</v>
      </c>
      <c r="B228" s="4"/>
      <c r="C228" s="8"/>
      <c r="D228" s="37"/>
      <c r="E228" s="4"/>
      <c r="F228" s="27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x14ac:dyDescent="0.3">
      <c r="A229" s="26">
        <v>226</v>
      </c>
      <c r="B229" s="4"/>
      <c r="C229" s="8"/>
      <c r="D229" s="37"/>
      <c r="E229" s="4"/>
      <c r="F229" s="27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x14ac:dyDescent="0.3">
      <c r="A230" s="26">
        <v>227</v>
      </c>
      <c r="B230" s="4"/>
      <c r="C230" s="8"/>
      <c r="D230" s="37"/>
      <c r="E230" s="4"/>
      <c r="F230" s="27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x14ac:dyDescent="0.3">
      <c r="A231" s="26">
        <v>228</v>
      </c>
      <c r="B231" s="4"/>
      <c r="C231" s="8"/>
      <c r="D231" s="37"/>
      <c r="E231" s="4"/>
      <c r="F231" s="27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x14ac:dyDescent="0.3">
      <c r="A232" s="26">
        <v>229</v>
      </c>
      <c r="B232" s="4"/>
      <c r="C232" s="8"/>
      <c r="D232" s="37"/>
      <c r="E232" s="4"/>
      <c r="F232" s="27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x14ac:dyDescent="0.3">
      <c r="A233" s="26">
        <v>230</v>
      </c>
      <c r="B233" s="4"/>
      <c r="C233" s="8"/>
      <c r="D233" s="37"/>
      <c r="E233" s="4"/>
      <c r="F233" s="27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x14ac:dyDescent="0.3">
      <c r="A234" s="26">
        <v>231</v>
      </c>
      <c r="B234" s="4"/>
      <c r="C234" s="8"/>
      <c r="D234" s="37"/>
      <c r="E234" s="4"/>
      <c r="F234" s="27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x14ac:dyDescent="0.3">
      <c r="A235" s="26">
        <v>232</v>
      </c>
      <c r="B235" s="4"/>
      <c r="C235" s="8"/>
      <c r="D235" s="37"/>
      <c r="E235" s="4"/>
      <c r="F235" s="27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x14ac:dyDescent="0.3">
      <c r="A236" s="26">
        <v>233</v>
      </c>
      <c r="B236" s="4"/>
      <c r="C236" s="8"/>
      <c r="D236" s="37"/>
      <c r="E236" s="4"/>
      <c r="F236" s="27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x14ac:dyDescent="0.3">
      <c r="A237" s="26">
        <v>234</v>
      </c>
      <c r="B237" s="4"/>
      <c r="C237" s="8"/>
      <c r="D237" s="37"/>
      <c r="E237" s="4"/>
      <c r="F237" s="27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x14ac:dyDescent="0.3">
      <c r="A238" s="26">
        <v>235</v>
      </c>
      <c r="B238" s="4"/>
      <c r="C238" s="8"/>
      <c r="D238" s="37"/>
      <c r="E238" s="4"/>
      <c r="F238" s="27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x14ac:dyDescent="0.3">
      <c r="A239" s="26">
        <v>236</v>
      </c>
      <c r="B239" s="4"/>
      <c r="C239" s="8"/>
      <c r="D239" s="37"/>
      <c r="E239" s="4"/>
      <c r="F239" s="27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x14ac:dyDescent="0.3">
      <c r="A240" s="26">
        <v>237</v>
      </c>
      <c r="B240" s="4"/>
      <c r="C240" s="8"/>
      <c r="D240" s="37"/>
      <c r="E240" s="4"/>
      <c r="F240" s="27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x14ac:dyDescent="0.3">
      <c r="A241" s="26">
        <v>238</v>
      </c>
      <c r="B241" s="4"/>
      <c r="C241" s="8"/>
      <c r="D241" s="37"/>
      <c r="E241" s="4"/>
      <c r="F241" s="27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x14ac:dyDescent="0.3">
      <c r="A242" s="26">
        <v>239</v>
      </c>
      <c r="B242" s="4"/>
      <c r="C242" s="8"/>
      <c r="D242" s="37"/>
      <c r="E242" s="4"/>
      <c r="F242" s="27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x14ac:dyDescent="0.3">
      <c r="A243" s="26">
        <v>240</v>
      </c>
      <c r="B243" s="4"/>
      <c r="C243" s="8"/>
      <c r="D243" s="37"/>
      <c r="E243" s="4"/>
      <c r="F243" s="27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x14ac:dyDescent="0.3">
      <c r="A244" s="26">
        <v>241</v>
      </c>
      <c r="B244" s="4"/>
      <c r="C244" s="8"/>
      <c r="D244" s="37"/>
      <c r="E244" s="4"/>
      <c r="F244" s="27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x14ac:dyDescent="0.3">
      <c r="A245" s="26">
        <v>242</v>
      </c>
      <c r="B245" s="4"/>
      <c r="C245" s="8"/>
      <c r="D245" s="37"/>
      <c r="E245" s="4"/>
      <c r="F245" s="27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x14ac:dyDescent="0.3">
      <c r="A246" s="26">
        <v>243</v>
      </c>
      <c r="B246" s="4"/>
      <c r="C246" s="8"/>
      <c r="D246" s="37"/>
      <c r="E246" s="4"/>
      <c r="F246" s="27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x14ac:dyDescent="0.3">
      <c r="A247" s="26">
        <v>244</v>
      </c>
      <c r="B247" s="4"/>
      <c r="C247" s="8"/>
      <c r="D247" s="37"/>
      <c r="E247" s="4"/>
      <c r="F247" s="27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x14ac:dyDescent="0.3">
      <c r="A248" s="26">
        <v>245</v>
      </c>
      <c r="B248" s="4"/>
      <c r="C248" s="8"/>
      <c r="D248" s="37"/>
      <c r="E248" s="4"/>
      <c r="F248" s="27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x14ac:dyDescent="0.3">
      <c r="A249" s="26">
        <v>246</v>
      </c>
      <c r="B249" s="4"/>
      <c r="C249" s="8"/>
      <c r="D249" s="37"/>
      <c r="E249" s="4"/>
      <c r="F249" s="27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x14ac:dyDescent="0.3">
      <c r="A250" s="26">
        <v>247</v>
      </c>
      <c r="B250" s="4"/>
      <c r="C250" s="8"/>
      <c r="D250" s="37"/>
      <c r="E250" s="4"/>
      <c r="F250" s="27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x14ac:dyDescent="0.3">
      <c r="A251" s="26">
        <v>248</v>
      </c>
      <c r="B251" s="4"/>
      <c r="C251" s="8"/>
      <c r="D251" s="37"/>
      <c r="E251" s="4"/>
      <c r="F251" s="27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x14ac:dyDescent="0.3">
      <c r="A252" s="26">
        <v>249</v>
      </c>
      <c r="B252" s="4"/>
      <c r="C252" s="8"/>
      <c r="D252" s="37"/>
      <c r="E252" s="4"/>
      <c r="F252" s="27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x14ac:dyDescent="0.3">
      <c r="A253" s="26">
        <v>250</v>
      </c>
      <c r="B253" s="4"/>
      <c r="C253" s="8"/>
      <c r="D253" s="37"/>
      <c r="E253" s="4"/>
      <c r="F253" s="27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x14ac:dyDescent="0.3">
      <c r="A254" s="26">
        <v>251</v>
      </c>
      <c r="B254" s="4"/>
      <c r="C254" s="8"/>
      <c r="D254" s="37"/>
      <c r="E254" s="4"/>
      <c r="F254" s="27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x14ac:dyDescent="0.3">
      <c r="A255" s="26">
        <v>252</v>
      </c>
      <c r="B255" s="4"/>
      <c r="C255" s="8"/>
      <c r="D255" s="37"/>
      <c r="E255" s="4"/>
      <c r="F255" s="27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x14ac:dyDescent="0.3">
      <c r="A256" s="26">
        <v>253</v>
      </c>
      <c r="B256" s="4"/>
      <c r="C256" s="8"/>
      <c r="D256" s="37"/>
      <c r="E256" s="4"/>
      <c r="F256" s="27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x14ac:dyDescent="0.3">
      <c r="A257" s="26">
        <v>254</v>
      </c>
      <c r="B257" s="4"/>
      <c r="C257" s="8"/>
      <c r="D257" s="37"/>
      <c r="E257" s="4"/>
      <c r="F257" s="27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x14ac:dyDescent="0.3">
      <c r="A258" s="26">
        <v>255</v>
      </c>
      <c r="B258" s="4"/>
      <c r="C258" s="8"/>
      <c r="D258" s="37"/>
      <c r="E258" s="4"/>
      <c r="F258" s="27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x14ac:dyDescent="0.3">
      <c r="A259" s="26">
        <v>256</v>
      </c>
      <c r="B259" s="4"/>
      <c r="C259" s="8"/>
      <c r="D259" s="37"/>
      <c r="E259" s="4"/>
      <c r="F259" s="27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x14ac:dyDescent="0.3">
      <c r="A260" s="26">
        <v>257</v>
      </c>
      <c r="B260" s="4"/>
      <c r="C260" s="8"/>
      <c r="D260" s="37"/>
      <c r="E260" s="4"/>
      <c r="F260" s="3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x14ac:dyDescent="0.3">
      <c r="A261" s="26">
        <v>258</v>
      </c>
      <c r="B261" s="4"/>
      <c r="C261" s="8"/>
      <c r="D261" s="37"/>
      <c r="E261" s="4"/>
      <c r="F261" s="3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x14ac:dyDescent="0.3">
      <c r="A262" s="26">
        <v>259</v>
      </c>
      <c r="B262" s="4"/>
      <c r="C262" s="8"/>
      <c r="D262" s="37"/>
      <c r="E262" s="4"/>
      <c r="F262" s="3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x14ac:dyDescent="0.3">
      <c r="A263" s="26">
        <v>260</v>
      </c>
      <c r="B263" s="4"/>
      <c r="C263" s="8"/>
      <c r="D263" s="37"/>
      <c r="E263" s="4"/>
      <c r="F263" s="3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x14ac:dyDescent="0.3">
      <c r="A264" s="26">
        <v>261</v>
      </c>
      <c r="B264" s="4"/>
      <c r="C264" s="8"/>
      <c r="D264" s="37"/>
      <c r="E264" s="4"/>
      <c r="F264" s="3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x14ac:dyDescent="0.3">
      <c r="A265" s="26">
        <v>262</v>
      </c>
      <c r="B265" s="4"/>
      <c r="C265" s="8"/>
      <c r="D265" s="37"/>
      <c r="E265" s="4"/>
      <c r="F265" s="3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x14ac:dyDescent="0.3">
      <c r="A266" s="26">
        <v>263</v>
      </c>
      <c r="B266" s="4"/>
      <c r="C266" s="8"/>
      <c r="D266" s="37"/>
      <c r="E266" s="4"/>
      <c r="F266" s="3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x14ac:dyDescent="0.3">
      <c r="A267" s="26">
        <v>264</v>
      </c>
      <c r="B267" s="4"/>
      <c r="C267" s="8"/>
      <c r="D267" s="37"/>
      <c r="E267" s="4"/>
      <c r="F267" s="3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x14ac:dyDescent="0.3">
      <c r="A268" s="26">
        <v>265</v>
      </c>
      <c r="B268" s="4"/>
      <c r="C268" s="8"/>
      <c r="D268" s="37"/>
      <c r="E268" s="4"/>
      <c r="F268" s="3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x14ac:dyDescent="0.3">
      <c r="A269" s="26">
        <v>266</v>
      </c>
      <c r="B269" s="4"/>
      <c r="C269" s="8"/>
      <c r="D269" s="37"/>
      <c r="E269" s="4"/>
      <c r="F269" s="3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x14ac:dyDescent="0.3">
      <c r="A270" s="26">
        <v>267</v>
      </c>
      <c r="B270" s="4"/>
      <c r="C270" s="8"/>
      <c r="D270" s="37"/>
      <c r="E270" s="4"/>
      <c r="F270" s="3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x14ac:dyDescent="0.3">
      <c r="A271" s="26">
        <v>268</v>
      </c>
      <c r="B271" s="4"/>
      <c r="C271" s="8"/>
      <c r="D271" s="37"/>
      <c r="E271" s="4"/>
      <c r="F271" s="3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x14ac:dyDescent="0.3">
      <c r="A272" s="26">
        <v>269</v>
      </c>
      <c r="B272" s="4"/>
      <c r="C272" s="8"/>
      <c r="D272" s="37"/>
      <c r="E272" s="4"/>
      <c r="F272" s="3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x14ac:dyDescent="0.3">
      <c r="A273" s="26">
        <v>270</v>
      </c>
      <c r="B273" s="4"/>
      <c r="C273" s="8"/>
      <c r="D273" s="37"/>
      <c r="E273" s="4"/>
      <c r="F273" s="3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x14ac:dyDescent="0.3">
      <c r="A274" s="26">
        <v>271</v>
      </c>
      <c r="B274" s="4"/>
      <c r="C274" s="8"/>
      <c r="D274" s="37"/>
      <c r="E274" s="4"/>
      <c r="F274" s="3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x14ac:dyDescent="0.3">
      <c r="A275" s="26">
        <v>272</v>
      </c>
      <c r="B275" s="4"/>
      <c r="C275" s="8"/>
      <c r="D275" s="37"/>
      <c r="E275" s="4"/>
      <c r="F275" s="27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x14ac:dyDescent="0.3">
      <c r="A276" s="26">
        <v>273</v>
      </c>
      <c r="B276" s="4"/>
      <c r="C276" s="8"/>
      <c r="D276" s="37"/>
      <c r="E276" s="4"/>
      <c r="F276" s="27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x14ac:dyDescent="0.3">
      <c r="A277" s="26">
        <v>274</v>
      </c>
      <c r="B277" s="4"/>
      <c r="C277" s="8"/>
      <c r="D277" s="37"/>
      <c r="E277" s="4"/>
      <c r="F277" s="27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x14ac:dyDescent="0.3">
      <c r="A278" s="26">
        <v>275</v>
      </c>
      <c r="B278" s="4"/>
      <c r="C278" s="8"/>
      <c r="D278" s="37"/>
      <c r="E278" s="4"/>
      <c r="F278" s="27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x14ac:dyDescent="0.3">
      <c r="A279" s="26">
        <v>276</v>
      </c>
      <c r="B279" s="4"/>
      <c r="C279" s="8"/>
      <c r="D279" s="37"/>
      <c r="E279" s="4"/>
      <c r="F279" s="27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x14ac:dyDescent="0.3">
      <c r="A280" s="26">
        <v>277</v>
      </c>
      <c r="B280" s="4"/>
      <c r="C280" s="8"/>
      <c r="D280" s="37"/>
      <c r="E280" s="4"/>
      <c r="F280" s="27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x14ac:dyDescent="0.3">
      <c r="A281" s="26">
        <v>278</v>
      </c>
      <c r="B281" s="4"/>
      <c r="C281" s="8"/>
      <c r="D281" s="37"/>
      <c r="E281" s="4"/>
      <c r="F281" s="27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x14ac:dyDescent="0.3">
      <c r="A282" s="26">
        <v>279</v>
      </c>
      <c r="B282" s="4"/>
      <c r="C282" s="8"/>
      <c r="D282" s="37"/>
      <c r="E282" s="4"/>
      <c r="F282" s="27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x14ac:dyDescent="0.3">
      <c r="A283" s="26">
        <v>280</v>
      </c>
      <c r="B283" s="4"/>
      <c r="C283" s="8"/>
      <c r="D283" s="37"/>
      <c r="E283" s="4"/>
      <c r="F283" s="27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x14ac:dyDescent="0.3">
      <c r="A284" s="26">
        <v>281</v>
      </c>
      <c r="B284" s="4"/>
      <c r="C284" s="8"/>
      <c r="D284" s="37"/>
      <c r="E284" s="4"/>
      <c r="F284" s="27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x14ac:dyDescent="0.3">
      <c r="A285" s="26">
        <v>282</v>
      </c>
      <c r="B285" s="4"/>
      <c r="C285" s="8"/>
      <c r="D285" s="37"/>
      <c r="E285" s="4"/>
      <c r="F285" s="27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x14ac:dyDescent="0.3">
      <c r="A286" s="26">
        <v>283</v>
      </c>
      <c r="B286" s="4"/>
      <c r="C286" s="8"/>
      <c r="D286" s="37"/>
      <c r="E286" s="4"/>
      <c r="F286" s="27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x14ac:dyDescent="0.3">
      <c r="A287" s="26">
        <v>284</v>
      </c>
      <c r="B287" s="4"/>
      <c r="C287" s="8"/>
      <c r="D287" s="37"/>
      <c r="E287" s="4"/>
      <c r="F287" s="27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x14ac:dyDescent="0.3">
      <c r="A288" s="26">
        <v>285</v>
      </c>
      <c r="B288" s="4"/>
      <c r="C288" s="8"/>
      <c r="D288" s="37"/>
      <c r="E288" s="4"/>
      <c r="F288" s="27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x14ac:dyDescent="0.3">
      <c r="A289" s="26">
        <v>286</v>
      </c>
      <c r="B289" s="4"/>
      <c r="C289" s="8"/>
      <c r="D289" s="37"/>
      <c r="E289" s="4"/>
      <c r="F289" s="27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x14ac:dyDescent="0.3">
      <c r="A290" s="26">
        <v>287</v>
      </c>
      <c r="B290" s="4"/>
      <c r="C290" s="8"/>
      <c r="D290" s="37"/>
      <c r="E290" s="4"/>
      <c r="F290" s="27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x14ac:dyDescent="0.3">
      <c r="A291" s="26">
        <v>288</v>
      </c>
      <c r="B291" s="4"/>
      <c r="C291" s="8"/>
      <c r="D291" s="37"/>
      <c r="E291" s="4"/>
      <c r="F291" s="27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x14ac:dyDescent="0.3">
      <c r="A292" s="26">
        <v>289</v>
      </c>
      <c r="B292" s="4"/>
      <c r="C292" s="8"/>
      <c r="D292" s="37"/>
      <c r="E292" s="4"/>
      <c r="F292" s="27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x14ac:dyDescent="0.3">
      <c r="A293" s="26">
        <v>290</v>
      </c>
      <c r="B293" s="4"/>
      <c r="C293" s="8"/>
      <c r="D293" s="37"/>
      <c r="E293" s="4"/>
      <c r="F293" s="27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x14ac:dyDescent="0.3">
      <c r="A294" s="26">
        <v>291</v>
      </c>
      <c r="B294" s="4"/>
      <c r="C294" s="8"/>
      <c r="D294" s="37"/>
      <c r="E294" s="4"/>
      <c r="F294" s="27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x14ac:dyDescent="0.3">
      <c r="A295" s="26">
        <v>292</v>
      </c>
      <c r="B295" s="4"/>
      <c r="C295" s="8"/>
      <c r="D295" s="37"/>
      <c r="E295" s="4"/>
      <c r="F295" s="27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x14ac:dyDescent="0.3">
      <c r="A296" s="26">
        <v>293</v>
      </c>
      <c r="B296" s="4"/>
      <c r="C296" s="8"/>
      <c r="D296" s="37"/>
      <c r="E296" s="4"/>
      <c r="F296" s="27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x14ac:dyDescent="0.3">
      <c r="A297" s="26">
        <v>294</v>
      </c>
      <c r="B297" s="4"/>
      <c r="C297" s="8"/>
      <c r="D297" s="37"/>
      <c r="E297" s="4"/>
      <c r="F297" s="27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x14ac:dyDescent="0.3">
      <c r="A298" s="26">
        <v>295</v>
      </c>
      <c r="B298" s="4"/>
      <c r="C298" s="8"/>
      <c r="D298" s="37"/>
      <c r="E298" s="4"/>
      <c r="F298" s="27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x14ac:dyDescent="0.3">
      <c r="A299" s="26">
        <v>296</v>
      </c>
      <c r="B299" s="4"/>
      <c r="C299" s="8"/>
      <c r="D299" s="37"/>
      <c r="E299" s="4"/>
      <c r="F299" s="27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x14ac:dyDescent="0.3">
      <c r="A300" s="26">
        <v>297</v>
      </c>
      <c r="B300" s="4"/>
      <c r="C300" s="8"/>
      <c r="D300" s="37"/>
      <c r="E300" s="4"/>
      <c r="F300" s="27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x14ac:dyDescent="0.3">
      <c r="A301" s="26">
        <v>298</v>
      </c>
      <c r="B301" s="4"/>
      <c r="C301" s="8"/>
      <c r="D301" s="27"/>
      <c r="E301" s="32"/>
      <c r="F301" s="27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x14ac:dyDescent="0.3">
      <c r="A302" s="26">
        <v>299</v>
      </c>
      <c r="B302" s="4"/>
      <c r="C302" s="8"/>
      <c r="D302" s="27"/>
      <c r="E302" s="32"/>
      <c r="F302" s="27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x14ac:dyDescent="0.3">
      <c r="A303" s="26">
        <v>300</v>
      </c>
      <c r="B303" s="4"/>
      <c r="C303" s="8"/>
      <c r="D303" s="27"/>
      <c r="E303" s="32"/>
      <c r="F303" s="27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x14ac:dyDescent="0.3">
      <c r="A304" s="26">
        <v>301</v>
      </c>
      <c r="B304" s="4"/>
      <c r="C304" s="8"/>
      <c r="D304" s="27"/>
      <c r="E304" s="32"/>
      <c r="F304" s="27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x14ac:dyDescent="0.3">
      <c r="A305" s="26">
        <v>302</v>
      </c>
      <c r="B305" s="4"/>
      <c r="C305" s="8"/>
      <c r="D305" s="27"/>
      <c r="E305" s="32"/>
      <c r="F305" s="27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x14ac:dyDescent="0.3">
      <c r="A306" s="26">
        <v>303</v>
      </c>
      <c r="B306" s="4"/>
      <c r="C306" s="8"/>
      <c r="D306" s="27"/>
      <c r="E306" s="32"/>
      <c r="F306" s="27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x14ac:dyDescent="0.3">
      <c r="A307" s="26">
        <v>304</v>
      </c>
      <c r="B307" s="4"/>
      <c r="C307" s="8"/>
      <c r="D307" s="27"/>
      <c r="E307" s="32"/>
      <c r="F307" s="27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x14ac:dyDescent="0.3">
      <c r="A308" s="26">
        <v>305</v>
      </c>
      <c r="B308" s="4"/>
      <c r="C308" s="8"/>
      <c r="D308" s="27"/>
      <c r="E308" s="32"/>
      <c r="F308" s="27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x14ac:dyDescent="0.3">
      <c r="A309" s="26">
        <v>306</v>
      </c>
      <c r="B309" s="4"/>
      <c r="C309" s="8"/>
      <c r="D309" s="27"/>
      <c r="E309" s="32"/>
      <c r="F309" s="27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x14ac:dyDescent="0.3">
      <c r="A310" s="26">
        <v>307</v>
      </c>
      <c r="B310" s="4"/>
      <c r="C310" s="8"/>
      <c r="D310" s="27"/>
      <c r="E310" s="32"/>
      <c r="F310" s="27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x14ac:dyDescent="0.3">
      <c r="A311" s="26">
        <v>308</v>
      </c>
      <c r="B311" s="4"/>
      <c r="C311" s="8"/>
      <c r="D311" s="27"/>
      <c r="E311" s="32"/>
      <c r="F311" s="27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x14ac:dyDescent="0.3">
      <c r="A312" s="26">
        <v>309</v>
      </c>
      <c r="B312" s="4"/>
      <c r="C312" s="8"/>
      <c r="D312" s="27"/>
      <c r="E312" s="32"/>
      <c r="F312" s="27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x14ac:dyDescent="0.3">
      <c r="A313" s="26">
        <v>310</v>
      </c>
      <c r="B313" s="4"/>
      <c r="C313" s="8"/>
      <c r="D313" s="27"/>
      <c r="E313" s="32"/>
      <c r="F313" s="27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x14ac:dyDescent="0.3">
      <c r="A314" s="26">
        <v>311</v>
      </c>
      <c r="B314" s="4"/>
      <c r="C314" s="8"/>
      <c r="D314" s="27"/>
      <c r="E314" s="32"/>
      <c r="F314" s="27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x14ac:dyDescent="0.3">
      <c r="A315" s="26">
        <v>312</v>
      </c>
      <c r="B315" s="4"/>
      <c r="C315" s="8"/>
      <c r="D315" s="27"/>
      <c r="E315" s="32"/>
      <c r="F315" s="27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x14ac:dyDescent="0.3">
      <c r="A316" s="26">
        <v>313</v>
      </c>
      <c r="B316" s="4"/>
      <c r="C316" s="8"/>
      <c r="D316" s="27"/>
      <c r="E316" s="32"/>
      <c r="F316" s="27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x14ac:dyDescent="0.3">
      <c r="A317" s="26">
        <v>314</v>
      </c>
      <c r="B317" s="4"/>
      <c r="C317" s="8"/>
      <c r="D317" s="27"/>
      <c r="E317" s="32"/>
      <c r="F317" s="27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x14ac:dyDescent="0.3">
      <c r="A318" s="26">
        <v>315</v>
      </c>
      <c r="B318" s="4"/>
      <c r="C318" s="8"/>
      <c r="D318" s="27"/>
      <c r="E318" s="32"/>
      <c r="F318" s="27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x14ac:dyDescent="0.3">
      <c r="A319" s="26">
        <v>316</v>
      </c>
      <c r="B319" s="4"/>
      <c r="C319" s="8"/>
      <c r="D319" s="27"/>
      <c r="E319" s="32"/>
      <c r="F319" s="27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x14ac:dyDescent="0.3">
      <c r="A320" s="26">
        <v>317</v>
      </c>
      <c r="B320" s="4"/>
      <c r="C320" s="8"/>
      <c r="D320" s="27"/>
      <c r="E320" s="32"/>
      <c r="F320" s="27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x14ac:dyDescent="0.3">
      <c r="A321" s="26">
        <v>318</v>
      </c>
      <c r="B321" s="4"/>
      <c r="C321" s="8"/>
      <c r="D321" s="27"/>
      <c r="E321" s="32"/>
      <c r="F321" s="27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x14ac:dyDescent="0.3">
      <c r="A322" s="26">
        <v>319</v>
      </c>
      <c r="B322" s="4"/>
      <c r="C322" s="8"/>
      <c r="D322" s="27"/>
      <c r="E322" s="32"/>
      <c r="F322" s="27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x14ac:dyDescent="0.3">
      <c r="A323" s="26">
        <v>320</v>
      </c>
      <c r="B323" s="4"/>
      <c r="C323" s="8"/>
      <c r="D323" s="27"/>
      <c r="E323" s="32"/>
      <c r="F323" s="27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x14ac:dyDescent="0.3">
      <c r="A324" s="26">
        <v>321</v>
      </c>
      <c r="B324" s="4"/>
      <c r="C324" s="8"/>
      <c r="D324" s="27"/>
      <c r="E324" s="32"/>
      <c r="F324" s="27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x14ac:dyDescent="0.3">
      <c r="A325" s="26">
        <v>322</v>
      </c>
      <c r="B325" s="4"/>
      <c r="C325" s="8"/>
      <c r="D325" s="27"/>
      <c r="E325" s="32"/>
      <c r="F325" s="27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x14ac:dyDescent="0.3">
      <c r="A326" s="26">
        <v>323</v>
      </c>
      <c r="B326" s="4"/>
      <c r="C326" s="8"/>
      <c r="D326" s="27"/>
      <c r="E326" s="32"/>
      <c r="F326" s="27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x14ac:dyDescent="0.3">
      <c r="A327" s="26">
        <v>324</v>
      </c>
      <c r="B327" s="4"/>
      <c r="C327" s="8"/>
      <c r="D327" s="27"/>
      <c r="E327" s="32"/>
      <c r="F327" s="27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x14ac:dyDescent="0.3">
      <c r="A328" s="26">
        <v>325</v>
      </c>
      <c r="B328" s="4"/>
      <c r="C328" s="8"/>
      <c r="D328" s="27"/>
      <c r="E328" s="32"/>
      <c r="F328" s="27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x14ac:dyDescent="0.3">
      <c r="A329" s="26">
        <v>326</v>
      </c>
      <c r="B329" s="4"/>
      <c r="C329" s="8"/>
      <c r="D329" s="27"/>
      <c r="E329" s="32"/>
      <c r="F329" s="27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x14ac:dyDescent="0.3">
      <c r="A330" s="26">
        <v>327</v>
      </c>
      <c r="B330" s="4"/>
      <c r="C330" s="8"/>
      <c r="D330" s="27"/>
      <c r="E330" s="32"/>
      <c r="F330" s="27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x14ac:dyDescent="0.3">
      <c r="A331" s="26">
        <v>328</v>
      </c>
      <c r="B331" s="4"/>
      <c r="C331" s="8"/>
      <c r="D331" s="27"/>
      <c r="E331" s="32"/>
      <c r="F331" s="27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x14ac:dyDescent="0.3">
      <c r="A332" s="26">
        <v>329</v>
      </c>
      <c r="B332" s="4"/>
      <c r="C332" s="8"/>
      <c r="D332" s="27"/>
      <c r="E332" s="32"/>
      <c r="F332" s="27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x14ac:dyDescent="0.3">
      <c r="A333" s="26">
        <v>330</v>
      </c>
      <c r="B333" s="4"/>
      <c r="C333" s="8"/>
      <c r="D333" s="27"/>
      <c r="E333" s="32"/>
      <c r="F333" s="27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x14ac:dyDescent="0.3">
      <c r="A334" s="26">
        <v>331</v>
      </c>
      <c r="B334" s="4"/>
      <c r="C334" s="8"/>
      <c r="D334" s="27"/>
      <c r="E334" s="32"/>
      <c r="F334" s="27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x14ac:dyDescent="0.3">
      <c r="A335" s="26">
        <v>332</v>
      </c>
      <c r="B335" s="4"/>
      <c r="C335" s="8"/>
      <c r="D335" s="27"/>
      <c r="E335" s="32"/>
      <c r="F335" s="27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x14ac:dyDescent="0.3">
      <c r="A336" s="26">
        <v>333</v>
      </c>
      <c r="B336" s="4"/>
      <c r="C336" s="8"/>
      <c r="D336" s="27"/>
      <c r="E336" s="32"/>
      <c r="F336" s="27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x14ac:dyDescent="0.3">
      <c r="A337" s="26">
        <v>334</v>
      </c>
      <c r="B337" s="4"/>
      <c r="C337" s="8"/>
      <c r="D337" s="27"/>
      <c r="E337" s="32"/>
      <c r="F337" s="27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x14ac:dyDescent="0.3">
      <c r="A338" s="26">
        <v>335</v>
      </c>
      <c r="B338" s="4"/>
      <c r="C338" s="8"/>
      <c r="D338" s="27"/>
      <c r="E338" s="32"/>
      <c r="F338" s="27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x14ac:dyDescent="0.3">
      <c r="A339" s="26">
        <v>336</v>
      </c>
      <c r="B339" s="4"/>
      <c r="C339" s="8"/>
      <c r="D339" s="27"/>
      <c r="E339" s="32"/>
      <c r="F339" s="27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x14ac:dyDescent="0.3">
      <c r="A340" s="26">
        <v>337</v>
      </c>
      <c r="B340" s="4"/>
      <c r="C340" s="8"/>
      <c r="D340" s="27"/>
      <c r="E340" s="32"/>
      <c r="F340" s="27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x14ac:dyDescent="0.3">
      <c r="A341" s="26">
        <v>338</v>
      </c>
      <c r="B341" s="4"/>
      <c r="C341" s="8"/>
      <c r="D341" s="27"/>
      <c r="E341" s="32"/>
      <c r="F341" s="27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x14ac:dyDescent="0.3">
      <c r="A342" s="26">
        <v>339</v>
      </c>
      <c r="B342" s="4"/>
      <c r="C342" s="8"/>
      <c r="D342" s="27"/>
      <c r="E342" s="32"/>
      <c r="F342" s="27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x14ac:dyDescent="0.3">
      <c r="A343" s="26">
        <v>340</v>
      </c>
      <c r="B343" s="4"/>
      <c r="C343" s="8"/>
      <c r="D343" s="27"/>
      <c r="E343" s="32"/>
      <c r="F343" s="27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x14ac:dyDescent="0.3">
      <c r="A344" s="26">
        <v>341</v>
      </c>
      <c r="B344" s="4"/>
      <c r="C344" s="8"/>
      <c r="D344" s="27"/>
      <c r="E344" s="32"/>
      <c r="F344" s="27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x14ac:dyDescent="0.3">
      <c r="A345" s="26">
        <v>342</v>
      </c>
      <c r="B345" s="4"/>
      <c r="C345" s="8"/>
      <c r="D345" s="27"/>
      <c r="E345" s="32"/>
      <c r="F345" s="27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x14ac:dyDescent="0.3">
      <c r="A346" s="26">
        <v>343</v>
      </c>
      <c r="B346" s="4"/>
      <c r="C346" s="8"/>
      <c r="D346" s="27"/>
      <c r="E346" s="32"/>
      <c r="F346" s="27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x14ac:dyDescent="0.3">
      <c r="A347" s="26">
        <v>344</v>
      </c>
      <c r="B347" s="4"/>
      <c r="C347" s="8"/>
      <c r="D347" s="27"/>
      <c r="E347" s="32"/>
      <c r="F347" s="27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x14ac:dyDescent="0.3">
      <c r="A348" s="26">
        <v>345</v>
      </c>
      <c r="B348" s="4"/>
      <c r="C348" s="8"/>
      <c r="D348" s="27"/>
      <c r="E348" s="32"/>
      <c r="F348" s="27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x14ac:dyDescent="0.3">
      <c r="A349" s="26">
        <v>346</v>
      </c>
      <c r="B349" s="4"/>
      <c r="C349" s="8"/>
      <c r="D349" s="27"/>
      <c r="E349" s="32"/>
      <c r="F349" s="27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x14ac:dyDescent="0.3">
      <c r="A350" s="26">
        <v>347</v>
      </c>
      <c r="B350" s="4"/>
      <c r="C350" s="8"/>
      <c r="D350" s="27"/>
      <c r="E350" s="32"/>
      <c r="F350" s="27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x14ac:dyDescent="0.3">
      <c r="A351" s="26">
        <v>348</v>
      </c>
      <c r="B351" s="4"/>
      <c r="C351" s="8"/>
      <c r="D351" s="27"/>
      <c r="E351" s="32"/>
      <c r="F351" s="38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x14ac:dyDescent="0.3">
      <c r="A352" s="26">
        <v>349</v>
      </c>
      <c r="B352" s="4"/>
      <c r="C352" s="8"/>
      <c r="D352" s="27"/>
      <c r="E352" s="32"/>
      <c r="F352" s="27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x14ac:dyDescent="0.3">
      <c r="A353" s="26">
        <v>350</v>
      </c>
      <c r="B353" s="4"/>
      <c r="C353" s="8"/>
      <c r="D353" s="27"/>
      <c r="E353" s="32"/>
      <c r="F353" s="27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x14ac:dyDescent="0.3">
      <c r="A354" s="26">
        <v>351</v>
      </c>
      <c r="B354" s="4"/>
      <c r="C354" s="8"/>
      <c r="D354" s="27"/>
      <c r="E354" s="32"/>
      <c r="F354" s="27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x14ac:dyDescent="0.3">
      <c r="A355" s="26">
        <v>352</v>
      </c>
      <c r="B355" s="4"/>
      <c r="C355" s="8"/>
      <c r="D355" s="27"/>
      <c r="E355" s="32"/>
      <c r="F355" s="27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x14ac:dyDescent="0.3">
      <c r="A356" s="26">
        <v>353</v>
      </c>
      <c r="B356" s="4"/>
      <c r="C356" s="8"/>
      <c r="D356" s="27"/>
      <c r="E356" s="32"/>
      <c r="F356" s="27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x14ac:dyDescent="0.3">
      <c r="A357" s="26">
        <v>354</v>
      </c>
      <c r="B357" s="4"/>
      <c r="C357" s="8"/>
      <c r="D357" s="27"/>
      <c r="E357" s="32"/>
      <c r="F357" s="27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x14ac:dyDescent="0.3">
      <c r="A358" s="26">
        <v>355</v>
      </c>
      <c r="B358" s="4"/>
      <c r="C358" s="8"/>
      <c r="D358" s="27"/>
      <c r="E358" s="32"/>
      <c r="F358" s="27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x14ac:dyDescent="0.3">
      <c r="A359" s="26">
        <v>356</v>
      </c>
      <c r="B359" s="4"/>
      <c r="C359" s="8"/>
      <c r="D359" s="27"/>
      <c r="E359" s="32"/>
      <c r="F359" s="27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x14ac:dyDescent="0.3">
      <c r="A360" s="26">
        <v>357</v>
      </c>
      <c r="B360" s="4"/>
      <c r="C360" s="8"/>
      <c r="D360" s="27"/>
      <c r="E360" s="32"/>
      <c r="F360" s="27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x14ac:dyDescent="0.3">
      <c r="A361" s="26">
        <v>358</v>
      </c>
      <c r="B361" s="4"/>
      <c r="C361" s="8"/>
      <c r="D361" s="27"/>
      <c r="E361" s="32"/>
      <c r="F361" s="27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x14ac:dyDescent="0.3">
      <c r="A362" s="26">
        <v>359</v>
      </c>
      <c r="B362" s="4"/>
      <c r="C362" s="8"/>
      <c r="D362" s="27"/>
      <c r="E362" s="32"/>
      <c r="F362" s="27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x14ac:dyDescent="0.3">
      <c r="A363" s="26">
        <v>360</v>
      </c>
      <c r="B363" s="4"/>
      <c r="C363" s="8"/>
      <c r="D363" s="27"/>
      <c r="E363" s="32"/>
      <c r="F363" s="27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x14ac:dyDescent="0.3">
      <c r="A364" s="26">
        <v>361</v>
      </c>
      <c r="B364" s="4"/>
      <c r="C364" s="8"/>
      <c r="D364" s="27"/>
      <c r="E364" s="32"/>
      <c r="F364" s="27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x14ac:dyDescent="0.3">
      <c r="A365" s="26">
        <v>362</v>
      </c>
      <c r="B365" s="4"/>
      <c r="C365" s="8"/>
      <c r="D365" s="27"/>
      <c r="E365" s="32"/>
      <c r="F365" s="27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x14ac:dyDescent="0.3">
      <c r="A366" s="26">
        <v>363</v>
      </c>
      <c r="B366" s="4"/>
      <c r="C366" s="8"/>
      <c r="D366" s="27"/>
      <c r="E366" s="32"/>
      <c r="F366" s="27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x14ac:dyDescent="0.3">
      <c r="A367" s="26">
        <v>364</v>
      </c>
      <c r="B367" s="4"/>
      <c r="C367" s="8"/>
      <c r="D367" s="27"/>
      <c r="E367" s="32"/>
      <c r="F367" s="27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x14ac:dyDescent="0.3">
      <c r="A368" s="26">
        <v>365</v>
      </c>
      <c r="B368" s="4"/>
      <c r="C368" s="8"/>
      <c r="D368" s="27"/>
      <c r="E368" s="32"/>
      <c r="F368" s="27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x14ac:dyDescent="0.3">
      <c r="A369" s="26">
        <v>366</v>
      </c>
      <c r="B369" s="4"/>
      <c r="C369" s="8"/>
      <c r="D369" s="27"/>
      <c r="E369" s="32"/>
      <c r="F369" s="27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x14ac:dyDescent="0.3">
      <c r="A370" s="26">
        <v>367</v>
      </c>
      <c r="B370" s="4"/>
      <c r="C370" s="8"/>
      <c r="D370" s="27"/>
      <c r="E370" s="32"/>
      <c r="F370" s="27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x14ac:dyDescent="0.3">
      <c r="A371" s="26">
        <v>368</v>
      </c>
      <c r="B371" s="4"/>
      <c r="C371" s="8"/>
      <c r="D371" s="27"/>
      <c r="E371" s="32"/>
      <c r="F371" s="27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x14ac:dyDescent="0.3">
      <c r="A372" s="26">
        <v>369</v>
      </c>
      <c r="B372" s="4"/>
      <c r="C372" s="8"/>
      <c r="D372" s="27"/>
      <c r="E372" s="32"/>
      <c r="F372" s="27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x14ac:dyDescent="0.3">
      <c r="A373" s="26">
        <v>370</v>
      </c>
      <c r="B373" s="4"/>
      <c r="C373" s="8"/>
      <c r="D373" s="27"/>
      <c r="E373" s="32"/>
      <c r="F373" s="27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x14ac:dyDescent="0.3">
      <c r="A374" s="26">
        <v>371</v>
      </c>
      <c r="B374" s="4"/>
      <c r="C374" s="8"/>
      <c r="D374" s="27"/>
      <c r="E374" s="32"/>
      <c r="F374" s="27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x14ac:dyDescent="0.3">
      <c r="A375" s="26">
        <v>372</v>
      </c>
      <c r="B375" s="4"/>
      <c r="C375" s="8"/>
      <c r="D375" s="27"/>
      <c r="E375" s="32"/>
      <c r="F375" s="27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x14ac:dyDescent="0.3">
      <c r="A376" s="26">
        <v>373</v>
      </c>
      <c r="B376" s="4"/>
      <c r="C376" s="8"/>
      <c r="D376" s="27"/>
      <c r="E376" s="32"/>
      <c r="F376" s="27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x14ac:dyDescent="0.3">
      <c r="A377" s="26">
        <v>374</v>
      </c>
      <c r="B377" s="4"/>
      <c r="C377" s="8"/>
      <c r="D377" s="27"/>
      <c r="E377" s="32"/>
      <c r="F377" s="27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x14ac:dyDescent="0.3">
      <c r="A378" s="26">
        <v>375</v>
      </c>
      <c r="B378" s="4"/>
      <c r="C378" s="8"/>
      <c r="D378" s="27"/>
      <c r="E378" s="32"/>
      <c r="F378" s="27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x14ac:dyDescent="0.3">
      <c r="A379" s="26">
        <v>376</v>
      </c>
      <c r="B379" s="4"/>
      <c r="C379" s="8"/>
      <c r="D379" s="27"/>
      <c r="E379" s="32"/>
      <c r="F379" s="27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x14ac:dyDescent="0.3">
      <c r="A380" s="26">
        <v>377</v>
      </c>
      <c r="B380" s="4"/>
      <c r="C380" s="8"/>
      <c r="D380" s="27"/>
      <c r="E380" s="32"/>
      <c r="F380" s="27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x14ac:dyDescent="0.3">
      <c r="A381" s="26">
        <v>378</v>
      </c>
      <c r="B381" s="4"/>
      <c r="C381" s="8"/>
      <c r="D381" s="27"/>
      <c r="E381" s="32"/>
      <c r="F381" s="27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x14ac:dyDescent="0.3">
      <c r="A382" s="26">
        <v>379</v>
      </c>
      <c r="B382" s="4"/>
      <c r="C382" s="8"/>
      <c r="D382" s="27"/>
      <c r="E382" s="32"/>
      <c r="F382" s="27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x14ac:dyDescent="0.3">
      <c r="A383" s="26">
        <v>380</v>
      </c>
      <c r="B383" s="4"/>
      <c r="C383" s="8"/>
      <c r="D383" s="27"/>
      <c r="E383" s="32"/>
      <c r="F383" s="27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x14ac:dyDescent="0.3">
      <c r="A384" s="26">
        <v>381</v>
      </c>
      <c r="B384" s="4"/>
      <c r="C384" s="8"/>
      <c r="D384" s="27"/>
      <c r="E384" s="32"/>
      <c r="F384" s="27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x14ac:dyDescent="0.3">
      <c r="A385" s="26">
        <v>382</v>
      </c>
      <c r="B385" s="4"/>
      <c r="C385" s="8"/>
      <c r="D385" s="27"/>
      <c r="E385" s="32"/>
      <c r="F385" s="27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x14ac:dyDescent="0.3">
      <c r="A386" s="26">
        <v>383</v>
      </c>
      <c r="B386" s="4"/>
      <c r="C386" s="8"/>
      <c r="D386" s="27"/>
      <c r="E386" s="32"/>
      <c r="F386" s="27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x14ac:dyDescent="0.3">
      <c r="A387" s="26">
        <v>384</v>
      </c>
      <c r="B387" s="4"/>
      <c r="C387" s="8"/>
      <c r="D387" s="27"/>
      <c r="E387" s="32"/>
      <c r="F387" s="27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x14ac:dyDescent="0.3">
      <c r="A388" s="26">
        <v>385</v>
      </c>
      <c r="B388" s="4"/>
      <c r="C388" s="8"/>
      <c r="D388" s="27"/>
      <c r="E388" s="32"/>
      <c r="F388" s="27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x14ac:dyDescent="0.3">
      <c r="A389" s="26">
        <v>386</v>
      </c>
      <c r="B389" s="4"/>
      <c r="C389" s="8"/>
      <c r="D389" s="27"/>
      <c r="E389" s="32"/>
      <c r="F389" s="27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x14ac:dyDescent="0.3">
      <c r="A390" s="26">
        <v>387</v>
      </c>
      <c r="B390" s="4"/>
      <c r="C390" s="8"/>
      <c r="D390" s="27"/>
      <c r="E390" s="32"/>
      <c r="F390" s="27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x14ac:dyDescent="0.3">
      <c r="A391" s="26">
        <v>388</v>
      </c>
      <c r="B391" s="4"/>
      <c r="C391" s="8"/>
      <c r="D391" s="27"/>
      <c r="E391" s="32"/>
      <c r="F391" s="27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x14ac:dyDescent="0.3">
      <c r="A392" s="26">
        <v>389</v>
      </c>
      <c r="B392" s="4"/>
      <c r="C392" s="8"/>
      <c r="D392" s="27"/>
      <c r="E392" s="32"/>
      <c r="F392" s="27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x14ac:dyDescent="0.3">
      <c r="A393" s="26">
        <v>390</v>
      </c>
      <c r="B393" s="4"/>
      <c r="C393" s="8"/>
      <c r="D393" s="27"/>
      <c r="E393" s="32"/>
      <c r="F393" s="27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x14ac:dyDescent="0.3">
      <c r="A394" s="26">
        <v>391</v>
      </c>
      <c r="B394" s="4"/>
      <c r="C394" s="8"/>
      <c r="D394" s="27"/>
      <c r="E394" s="32"/>
      <c r="F394" s="27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x14ac:dyDescent="0.3">
      <c r="A395" s="26">
        <v>392</v>
      </c>
      <c r="B395" s="4"/>
      <c r="C395" s="8"/>
      <c r="D395" s="27"/>
      <c r="E395" s="32"/>
      <c r="F395" s="27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x14ac:dyDescent="0.3">
      <c r="A396" s="26">
        <v>393</v>
      </c>
      <c r="B396" s="4"/>
      <c r="C396" s="8"/>
      <c r="D396" s="27"/>
      <c r="E396" s="32"/>
      <c r="F396" s="27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x14ac:dyDescent="0.3">
      <c r="A397" s="26">
        <v>394</v>
      </c>
      <c r="B397" s="4"/>
      <c r="C397" s="8"/>
      <c r="D397" s="27"/>
      <c r="E397" s="32"/>
      <c r="F397" s="27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x14ac:dyDescent="0.3">
      <c r="A398" s="26">
        <v>395</v>
      </c>
      <c r="B398" s="4"/>
      <c r="C398" s="8"/>
      <c r="D398" s="27"/>
      <c r="E398" s="32"/>
      <c r="F398" s="27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x14ac:dyDescent="0.3">
      <c r="A399" s="26">
        <v>396</v>
      </c>
      <c r="B399" s="4"/>
      <c r="C399" s="8"/>
      <c r="D399" s="27"/>
      <c r="E399" s="32"/>
      <c r="F399" s="27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x14ac:dyDescent="0.3">
      <c r="A400" s="26">
        <v>397</v>
      </c>
      <c r="B400" s="4"/>
      <c r="C400" s="8"/>
      <c r="D400" s="27"/>
      <c r="E400" s="32"/>
      <c r="F400" s="27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x14ac:dyDescent="0.3">
      <c r="A401" s="26">
        <v>398</v>
      </c>
      <c r="B401" s="4"/>
      <c r="C401" s="8"/>
      <c r="D401" s="27"/>
      <c r="E401" s="32"/>
      <c r="F401" s="27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x14ac:dyDescent="0.3">
      <c r="A402" s="26">
        <v>399</v>
      </c>
      <c r="B402" s="4"/>
      <c r="C402" s="8"/>
      <c r="D402" s="27"/>
      <c r="E402" s="32"/>
      <c r="F402" s="27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x14ac:dyDescent="0.3">
      <c r="A403" s="26">
        <v>400</v>
      </c>
      <c r="B403" s="4"/>
      <c r="C403" s="8"/>
      <c r="D403" s="27"/>
      <c r="E403" s="32"/>
      <c r="F403" s="27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x14ac:dyDescent="0.3">
      <c r="A404" s="26">
        <v>401</v>
      </c>
      <c r="B404" s="4"/>
      <c r="C404" s="8"/>
      <c r="D404" s="27"/>
      <c r="E404" s="32"/>
      <c r="F404" s="27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x14ac:dyDescent="0.3">
      <c r="A405" s="26">
        <v>402</v>
      </c>
      <c r="B405" s="4"/>
      <c r="C405" s="8"/>
      <c r="D405" s="27"/>
      <c r="E405" s="32"/>
      <c r="F405" s="27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x14ac:dyDescent="0.3">
      <c r="A406" s="26">
        <v>403</v>
      </c>
      <c r="B406" s="4"/>
      <c r="C406" s="8"/>
      <c r="D406" s="27"/>
      <c r="E406" s="32"/>
      <c r="F406" s="27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x14ac:dyDescent="0.3">
      <c r="A407" s="26">
        <v>404</v>
      </c>
      <c r="B407" s="4"/>
      <c r="C407" s="8"/>
      <c r="D407" s="27"/>
      <c r="E407" s="32"/>
      <c r="F407" s="27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x14ac:dyDescent="0.3">
      <c r="A408" s="26">
        <v>405</v>
      </c>
      <c r="B408" s="4"/>
      <c r="C408" s="8"/>
      <c r="D408" s="27"/>
      <c r="E408" s="32"/>
      <c r="F408" s="27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x14ac:dyDescent="0.3">
      <c r="A409" s="26">
        <v>406</v>
      </c>
      <c r="B409" s="4"/>
      <c r="C409" s="8"/>
      <c r="D409" s="27"/>
      <c r="E409" s="32"/>
      <c r="F409" s="27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x14ac:dyDescent="0.3">
      <c r="A410" s="26">
        <v>407</v>
      </c>
      <c r="B410" s="4"/>
      <c r="C410" s="8"/>
      <c r="D410" s="27"/>
      <c r="E410" s="32"/>
      <c r="F410" s="27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x14ac:dyDescent="0.3">
      <c r="A411" s="26">
        <v>408</v>
      </c>
      <c r="B411" s="4"/>
      <c r="C411" s="8"/>
      <c r="D411" s="27"/>
      <c r="E411" s="32"/>
      <c r="F411" s="27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x14ac:dyDescent="0.3">
      <c r="A412" s="26">
        <v>409</v>
      </c>
      <c r="B412" s="4"/>
      <c r="C412" s="8"/>
      <c r="D412" s="27"/>
      <c r="E412" s="32"/>
      <c r="F412" s="27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x14ac:dyDescent="0.3">
      <c r="A413" s="26">
        <v>410</v>
      </c>
      <c r="B413" s="4"/>
      <c r="C413" s="8"/>
      <c r="D413" s="27"/>
      <c r="E413" s="32"/>
      <c r="F413" s="27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x14ac:dyDescent="0.3">
      <c r="A414" s="26">
        <v>411</v>
      </c>
      <c r="B414" s="4"/>
      <c r="C414" s="8"/>
      <c r="D414" s="27"/>
      <c r="E414" s="32"/>
      <c r="F414" s="27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x14ac:dyDescent="0.3">
      <c r="A415" s="26">
        <v>412</v>
      </c>
      <c r="B415" s="4"/>
      <c r="C415" s="8"/>
      <c r="D415" s="27"/>
      <c r="E415" s="32"/>
      <c r="F415" s="27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x14ac:dyDescent="0.3">
      <c r="A416" s="26">
        <v>413</v>
      </c>
      <c r="B416" s="4"/>
      <c r="C416" s="8"/>
      <c r="D416" s="27"/>
      <c r="E416" s="32"/>
      <c r="F416" s="27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x14ac:dyDescent="0.3">
      <c r="A417" s="26">
        <v>414</v>
      </c>
      <c r="B417" s="4"/>
      <c r="C417" s="8"/>
      <c r="D417" s="27"/>
      <c r="E417" s="32"/>
      <c r="F417" s="27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x14ac:dyDescent="0.3">
      <c r="A418" s="26">
        <v>415</v>
      </c>
      <c r="B418" s="4"/>
      <c r="C418" s="8"/>
      <c r="D418" s="27"/>
      <c r="E418" s="32"/>
      <c r="F418" s="27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x14ac:dyDescent="0.3">
      <c r="A419" s="26">
        <v>416</v>
      </c>
      <c r="B419" s="4"/>
      <c r="C419" s="8"/>
      <c r="D419" s="27"/>
      <c r="E419" s="32"/>
      <c r="F419" s="27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x14ac:dyDescent="0.3">
      <c r="A420" s="26">
        <v>417</v>
      </c>
      <c r="B420" s="4"/>
      <c r="C420" s="8"/>
      <c r="D420" s="27"/>
      <c r="E420" s="32"/>
      <c r="F420" s="27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x14ac:dyDescent="0.3">
      <c r="A421" s="26">
        <v>418</v>
      </c>
      <c r="B421" s="4"/>
      <c r="C421" s="8"/>
      <c r="D421" s="27"/>
      <c r="E421" s="32"/>
      <c r="F421" s="27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x14ac:dyDescent="0.3">
      <c r="A422" s="26">
        <v>419</v>
      </c>
      <c r="B422" s="4"/>
      <c r="C422" s="8"/>
      <c r="D422" s="27"/>
      <c r="E422" s="32"/>
      <c r="F422" s="27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x14ac:dyDescent="0.3">
      <c r="A423" s="26">
        <v>420</v>
      </c>
      <c r="B423" s="4"/>
      <c r="C423" s="8"/>
      <c r="D423" s="37"/>
      <c r="E423" s="4"/>
      <c r="F423" s="35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x14ac:dyDescent="0.3">
      <c r="A424" s="26">
        <v>421</v>
      </c>
      <c r="B424" s="4"/>
      <c r="C424" s="8"/>
      <c r="D424" s="37"/>
      <c r="E424" s="4"/>
      <c r="F424" s="35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x14ac:dyDescent="0.3">
      <c r="A425" s="26">
        <v>422</v>
      </c>
      <c r="B425" s="4"/>
      <c r="C425" s="8"/>
      <c r="D425" s="27"/>
      <c r="E425" s="32"/>
      <c r="F425" s="27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x14ac:dyDescent="0.3">
      <c r="A426" s="26">
        <v>423</v>
      </c>
      <c r="B426" s="4"/>
      <c r="C426" s="8"/>
      <c r="D426" s="27"/>
      <c r="E426" s="32"/>
      <c r="F426" s="27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x14ac:dyDescent="0.3">
      <c r="A427" s="26">
        <v>424</v>
      </c>
      <c r="B427" s="4"/>
      <c r="C427" s="8"/>
      <c r="D427" s="27"/>
      <c r="E427" s="32"/>
      <c r="F427" s="27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x14ac:dyDescent="0.3">
      <c r="A428" s="26">
        <v>425</v>
      </c>
      <c r="B428" s="4"/>
      <c r="C428" s="8"/>
      <c r="D428" s="27"/>
      <c r="E428" s="32"/>
      <c r="F428" s="27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x14ac:dyDescent="0.3">
      <c r="A429" s="26">
        <v>426</v>
      </c>
      <c r="B429" s="4"/>
      <c r="C429" s="8"/>
      <c r="D429" s="27"/>
      <c r="E429" s="32"/>
      <c r="F429" s="27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x14ac:dyDescent="0.3">
      <c r="A430" s="26">
        <v>427</v>
      </c>
      <c r="B430" s="4"/>
      <c r="C430" s="8"/>
      <c r="D430" s="27"/>
      <c r="E430" s="32"/>
      <c r="F430" s="27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x14ac:dyDescent="0.3">
      <c r="A431" s="26">
        <v>428</v>
      </c>
      <c r="B431" s="4"/>
      <c r="C431" s="8"/>
      <c r="D431" s="27"/>
      <c r="E431" s="32"/>
      <c r="F431" s="27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x14ac:dyDescent="0.3">
      <c r="A432" s="26">
        <v>429</v>
      </c>
      <c r="B432" s="4"/>
      <c r="C432" s="8"/>
      <c r="D432" s="27"/>
      <c r="E432" s="32"/>
      <c r="F432" s="27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x14ac:dyDescent="0.3">
      <c r="A433" s="26">
        <v>430</v>
      </c>
      <c r="B433" s="4"/>
      <c r="C433" s="8"/>
      <c r="D433" s="27"/>
      <c r="E433" s="32"/>
      <c r="F433" s="27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x14ac:dyDescent="0.3">
      <c r="A434" s="26">
        <v>431</v>
      </c>
      <c r="B434" s="4"/>
      <c r="C434" s="8"/>
      <c r="D434" s="27"/>
      <c r="E434" s="32"/>
      <c r="F434" s="27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x14ac:dyDescent="0.3">
      <c r="A435" s="26">
        <v>432</v>
      </c>
      <c r="B435" s="4"/>
      <c r="C435" s="8"/>
      <c r="D435" s="27"/>
      <c r="E435" s="32"/>
      <c r="F435" s="27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x14ac:dyDescent="0.3">
      <c r="A436" s="26">
        <v>433</v>
      </c>
      <c r="B436" s="4"/>
      <c r="C436" s="8"/>
      <c r="D436" s="27"/>
      <c r="E436" s="32"/>
      <c r="F436" s="27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x14ac:dyDescent="0.3">
      <c r="A437" s="24" t="s">
        <v>76</v>
      </c>
      <c r="B437" s="7">
        <f>AVERAGE(G437:AB437)</f>
        <v>3.0880952380952378</v>
      </c>
      <c r="C437" s="7" t="s">
        <v>77</v>
      </c>
      <c r="D437" s="7"/>
      <c r="E437" s="21"/>
      <c r="F437" s="7"/>
      <c r="G437" s="7">
        <f>AVERAGE(G4:G436)</f>
        <v>2.9642857142857144</v>
      </c>
      <c r="H437" s="7">
        <f t="shared" ref="H437:AB437" si="0">AVERAGE(H4:H436)</f>
        <v>3.5714285714285716</v>
      </c>
      <c r="I437" s="7">
        <f t="shared" si="0"/>
        <v>3.0714285714285716</v>
      </c>
      <c r="J437" s="7">
        <f t="shared" si="0"/>
        <v>2.9642857142857144</v>
      </c>
      <c r="K437" s="7">
        <f t="shared" si="0"/>
        <v>3.0357142857142856</v>
      </c>
      <c r="L437" s="7">
        <f t="shared" si="0"/>
        <v>3.0357142857142856</v>
      </c>
      <c r="M437" s="7">
        <f t="shared" si="0"/>
        <v>3.2142857142857144</v>
      </c>
      <c r="N437" s="7">
        <f t="shared" si="0"/>
        <v>3.0357142857142856</v>
      </c>
      <c r="O437" s="7">
        <f t="shared" si="0"/>
        <v>2.8928571428571428</v>
      </c>
      <c r="P437" s="7">
        <f t="shared" si="0"/>
        <v>3.1428571428571428</v>
      </c>
      <c r="Q437" s="7">
        <f t="shared" si="0"/>
        <v>3.0357142857142856</v>
      </c>
      <c r="R437" s="7">
        <f t="shared" si="0"/>
        <v>3.0714285714285716</v>
      </c>
      <c r="S437" s="7">
        <f t="shared" si="0"/>
        <v>3.0357142857142856</v>
      </c>
      <c r="T437" s="7">
        <f t="shared" si="0"/>
        <v>2.6785714285714284</v>
      </c>
      <c r="U437" s="7"/>
      <c r="V437" s="7"/>
      <c r="W437" s="7"/>
      <c r="X437" s="7"/>
      <c r="Y437" s="7"/>
      <c r="Z437" s="7"/>
      <c r="AA437" s="7"/>
      <c r="AB437" s="7">
        <f t="shared" si="0"/>
        <v>3.5714285714285716</v>
      </c>
    </row>
  </sheetData>
  <autoFilter ref="A3:AB437"/>
  <mergeCells count="1">
    <mergeCell ref="A1:AB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7"/>
  <sheetViews>
    <sheetView zoomScale="85" zoomScaleNormal="85" workbookViewId="0">
      <pane ySplit="3" topLeftCell="A94" activePane="bottomLeft" state="frozen"/>
      <selection activeCell="C42" sqref="C42"/>
      <selection pane="bottomLeft" activeCell="D34" sqref="D34"/>
    </sheetView>
  </sheetViews>
  <sheetFormatPr defaultColWidth="9" defaultRowHeight="16.5" x14ac:dyDescent="0.3"/>
  <cols>
    <col min="1" max="1" width="9" style="39"/>
    <col min="2" max="2" width="24" style="6" customWidth="1"/>
    <col min="3" max="3" width="17.625" style="6" customWidth="1"/>
    <col min="4" max="4" width="30.625" style="6" customWidth="1"/>
    <col min="5" max="5" width="6.875" customWidth="1"/>
    <col min="6" max="6" width="6.625" style="6" customWidth="1"/>
    <col min="7" max="28" width="6.125" style="6" customWidth="1"/>
    <col min="29" max="16384" width="9" style="6"/>
  </cols>
  <sheetData>
    <row r="1" spans="1:28" ht="26.25" x14ac:dyDescent="0.3">
      <c r="A1" s="46" t="s">
        <v>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3" spans="1:28" ht="33" x14ac:dyDescent="0.3">
      <c r="A3" s="24" t="s">
        <v>59</v>
      </c>
      <c r="B3" s="7" t="s">
        <v>4</v>
      </c>
      <c r="C3" s="7" t="s">
        <v>5</v>
      </c>
      <c r="D3" s="7" t="s">
        <v>60</v>
      </c>
      <c r="E3" s="21" t="s">
        <v>1</v>
      </c>
      <c r="F3" s="7" t="s">
        <v>2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14</v>
      </c>
      <c r="N3" s="25" t="s">
        <v>16</v>
      </c>
      <c r="O3" s="25" t="s">
        <v>18</v>
      </c>
      <c r="P3" s="25" t="s">
        <v>20</v>
      </c>
      <c r="Q3" s="25" t="s">
        <v>22</v>
      </c>
      <c r="R3" s="25" t="s">
        <v>23</v>
      </c>
      <c r="S3" s="25" t="s">
        <v>24</v>
      </c>
      <c r="T3" s="25" t="s">
        <v>61</v>
      </c>
      <c r="U3" s="25" t="s">
        <v>62</v>
      </c>
      <c r="V3" s="25" t="s">
        <v>63</v>
      </c>
      <c r="W3" s="25" t="s">
        <v>64</v>
      </c>
      <c r="X3" s="25" t="s">
        <v>65</v>
      </c>
      <c r="Y3" s="25" t="s">
        <v>66</v>
      </c>
      <c r="Z3" s="25" t="s">
        <v>67</v>
      </c>
      <c r="AA3" s="25" t="s">
        <v>68</v>
      </c>
      <c r="AB3" s="25" t="s">
        <v>69</v>
      </c>
    </row>
    <row r="4" spans="1:28" s="28" customFormat="1" x14ac:dyDescent="0.3">
      <c r="A4" s="26">
        <v>1</v>
      </c>
      <c r="B4" s="4" t="s">
        <v>55</v>
      </c>
      <c r="C4" s="8" t="s">
        <v>30</v>
      </c>
      <c r="D4" s="4" t="s">
        <v>70</v>
      </c>
      <c r="E4" s="4">
        <v>2</v>
      </c>
      <c r="F4" s="27" t="s">
        <v>32</v>
      </c>
      <c r="G4" s="26">
        <v>3</v>
      </c>
      <c r="H4" s="26">
        <v>3</v>
      </c>
      <c r="I4" s="26">
        <v>3</v>
      </c>
      <c r="J4" s="26">
        <v>3</v>
      </c>
      <c r="K4" s="26">
        <v>3</v>
      </c>
      <c r="L4" s="26">
        <v>3</v>
      </c>
      <c r="M4" s="26">
        <v>3</v>
      </c>
      <c r="N4" s="26">
        <v>3</v>
      </c>
      <c r="O4" s="26">
        <v>3</v>
      </c>
      <c r="P4" s="26">
        <v>3</v>
      </c>
      <c r="Q4" s="26">
        <v>3</v>
      </c>
      <c r="R4" s="26">
        <v>3</v>
      </c>
      <c r="S4" s="26">
        <v>3</v>
      </c>
      <c r="T4" s="26">
        <v>3</v>
      </c>
      <c r="U4" s="26">
        <v>3</v>
      </c>
      <c r="V4" s="26">
        <v>3</v>
      </c>
      <c r="W4" s="26">
        <v>3</v>
      </c>
      <c r="X4" s="26">
        <v>3</v>
      </c>
      <c r="Y4" s="26">
        <v>3</v>
      </c>
      <c r="Z4" s="26">
        <v>3</v>
      </c>
      <c r="AA4" s="26">
        <v>3</v>
      </c>
      <c r="AB4" s="26">
        <v>3</v>
      </c>
    </row>
    <row r="5" spans="1:28" s="28" customFormat="1" x14ac:dyDescent="0.3">
      <c r="A5" s="26">
        <v>2</v>
      </c>
      <c r="B5" s="4" t="s">
        <v>55</v>
      </c>
      <c r="C5" s="8" t="s">
        <v>30</v>
      </c>
      <c r="D5" s="4" t="s">
        <v>70</v>
      </c>
      <c r="E5" s="4">
        <v>1</v>
      </c>
      <c r="F5" s="27" t="s">
        <v>32</v>
      </c>
      <c r="G5" s="26">
        <v>2</v>
      </c>
      <c r="H5" s="26">
        <v>2</v>
      </c>
      <c r="I5" s="26">
        <v>2</v>
      </c>
      <c r="J5" s="26">
        <v>2</v>
      </c>
      <c r="K5" s="26">
        <v>3</v>
      </c>
      <c r="L5" s="26">
        <v>2</v>
      </c>
      <c r="M5" s="26">
        <v>3</v>
      </c>
      <c r="N5" s="26">
        <v>3</v>
      </c>
      <c r="O5" s="26">
        <v>2</v>
      </c>
      <c r="P5" s="26">
        <v>3</v>
      </c>
      <c r="Q5" s="26">
        <v>2</v>
      </c>
      <c r="R5" s="26">
        <v>2</v>
      </c>
      <c r="S5" s="26">
        <v>2</v>
      </c>
      <c r="T5" s="26">
        <v>2</v>
      </c>
      <c r="U5" s="26">
        <v>2</v>
      </c>
      <c r="V5" s="26">
        <v>2</v>
      </c>
      <c r="W5" s="26">
        <v>3</v>
      </c>
      <c r="X5" s="26">
        <v>2</v>
      </c>
      <c r="Y5" s="26">
        <v>2</v>
      </c>
      <c r="Z5" s="26">
        <v>3</v>
      </c>
      <c r="AA5" s="26">
        <v>2</v>
      </c>
      <c r="AB5" s="26">
        <v>3</v>
      </c>
    </row>
    <row r="6" spans="1:28" s="28" customFormat="1" x14ac:dyDescent="0.3">
      <c r="A6" s="26">
        <v>3</v>
      </c>
      <c r="B6" s="4" t="s">
        <v>55</v>
      </c>
      <c r="C6" s="8" t="s">
        <v>30</v>
      </c>
      <c r="D6" s="4" t="s">
        <v>70</v>
      </c>
      <c r="E6" s="4">
        <v>2</v>
      </c>
      <c r="F6" s="27" t="s">
        <v>36</v>
      </c>
      <c r="G6" s="29">
        <v>3</v>
      </c>
      <c r="H6" s="29">
        <v>3</v>
      </c>
      <c r="I6" s="29">
        <v>3</v>
      </c>
      <c r="J6" s="29">
        <v>4</v>
      </c>
      <c r="K6" s="29">
        <v>4</v>
      </c>
      <c r="L6" s="29">
        <v>3</v>
      </c>
      <c r="M6" s="29">
        <v>4</v>
      </c>
      <c r="N6" s="29">
        <v>4</v>
      </c>
      <c r="O6" s="29">
        <v>3</v>
      </c>
      <c r="P6" s="29">
        <v>3</v>
      </c>
      <c r="Q6" s="29">
        <v>3</v>
      </c>
      <c r="R6" s="29">
        <v>4</v>
      </c>
      <c r="S6" s="29">
        <v>4</v>
      </c>
      <c r="T6" s="29">
        <v>4</v>
      </c>
      <c r="U6" s="29">
        <v>3</v>
      </c>
      <c r="V6" s="29">
        <v>3</v>
      </c>
      <c r="W6" s="29">
        <v>4</v>
      </c>
      <c r="X6" s="29">
        <v>3</v>
      </c>
      <c r="Y6" s="29">
        <v>4</v>
      </c>
      <c r="Z6" s="29">
        <v>4</v>
      </c>
      <c r="AA6" s="29">
        <v>4</v>
      </c>
      <c r="AB6" s="29">
        <v>4</v>
      </c>
    </row>
    <row r="7" spans="1:28" s="30" customFormat="1" x14ac:dyDescent="0.3">
      <c r="A7" s="26">
        <v>4</v>
      </c>
      <c r="B7" s="4" t="s">
        <v>55</v>
      </c>
      <c r="C7" s="8" t="s">
        <v>30</v>
      </c>
      <c r="D7" s="4" t="s">
        <v>71</v>
      </c>
      <c r="E7" s="4">
        <v>1</v>
      </c>
      <c r="F7" s="27" t="s">
        <v>36</v>
      </c>
      <c r="G7" s="29">
        <v>3</v>
      </c>
      <c r="H7" s="29">
        <v>4</v>
      </c>
      <c r="I7" s="29">
        <v>4</v>
      </c>
      <c r="J7" s="29">
        <v>2</v>
      </c>
      <c r="K7" s="29">
        <v>2</v>
      </c>
      <c r="L7" s="29">
        <v>4</v>
      </c>
      <c r="M7" s="29">
        <v>4</v>
      </c>
      <c r="N7" s="29">
        <v>3</v>
      </c>
      <c r="O7" s="29">
        <v>3</v>
      </c>
      <c r="P7" s="29">
        <v>4</v>
      </c>
      <c r="Q7" s="29">
        <v>3</v>
      </c>
      <c r="R7" s="29">
        <v>2</v>
      </c>
      <c r="S7" s="29">
        <v>3</v>
      </c>
      <c r="T7" s="29">
        <v>2</v>
      </c>
      <c r="U7" s="29">
        <v>3</v>
      </c>
      <c r="V7" s="29">
        <v>3</v>
      </c>
      <c r="W7" s="29">
        <v>3</v>
      </c>
      <c r="X7" s="29">
        <v>4</v>
      </c>
      <c r="Y7" s="29">
        <v>4</v>
      </c>
      <c r="Z7" s="29">
        <v>4</v>
      </c>
      <c r="AA7" s="29">
        <v>4</v>
      </c>
      <c r="AB7" s="29">
        <v>4</v>
      </c>
    </row>
    <row r="8" spans="1:28" s="30" customFormat="1" x14ac:dyDescent="0.3">
      <c r="A8" s="26">
        <v>5</v>
      </c>
      <c r="B8" s="4" t="s">
        <v>55</v>
      </c>
      <c r="C8" s="8" t="s">
        <v>30</v>
      </c>
      <c r="D8" s="31" t="s">
        <v>72</v>
      </c>
      <c r="E8" s="32">
        <v>2</v>
      </c>
      <c r="F8" s="27" t="s">
        <v>36</v>
      </c>
      <c r="G8" s="29">
        <v>5</v>
      </c>
      <c r="H8" s="29">
        <v>5</v>
      </c>
      <c r="I8" s="29">
        <v>5</v>
      </c>
      <c r="J8" s="29">
        <v>4</v>
      </c>
      <c r="K8" s="29">
        <v>3</v>
      </c>
      <c r="L8" s="29">
        <v>3</v>
      </c>
      <c r="M8" s="29">
        <v>4</v>
      </c>
      <c r="N8" s="29">
        <v>5</v>
      </c>
      <c r="O8" s="29">
        <v>5</v>
      </c>
      <c r="P8" s="29">
        <v>5</v>
      </c>
      <c r="Q8" s="29">
        <v>3</v>
      </c>
      <c r="R8" s="29">
        <v>4</v>
      </c>
      <c r="S8" s="29">
        <v>3</v>
      </c>
      <c r="T8" s="29">
        <v>5</v>
      </c>
      <c r="U8" s="29">
        <v>5</v>
      </c>
      <c r="V8" s="29">
        <v>3</v>
      </c>
      <c r="W8" s="29">
        <v>4</v>
      </c>
      <c r="X8" s="29">
        <v>5</v>
      </c>
      <c r="Y8" s="29">
        <v>3</v>
      </c>
      <c r="Z8" s="29">
        <v>4</v>
      </c>
      <c r="AA8" s="29">
        <v>3</v>
      </c>
      <c r="AB8" s="29">
        <v>5</v>
      </c>
    </row>
    <row r="9" spans="1:28" s="30" customFormat="1" x14ac:dyDescent="0.3">
      <c r="A9" s="26">
        <v>6</v>
      </c>
      <c r="B9" s="4" t="s">
        <v>55</v>
      </c>
      <c r="C9" s="8" t="s">
        <v>30</v>
      </c>
      <c r="D9" s="33" t="s">
        <v>71</v>
      </c>
      <c r="E9" s="4">
        <v>1</v>
      </c>
      <c r="F9" s="27" t="s">
        <v>36</v>
      </c>
      <c r="G9" s="29">
        <v>3</v>
      </c>
      <c r="H9" s="29">
        <v>4</v>
      </c>
      <c r="I9" s="29">
        <v>4</v>
      </c>
      <c r="J9" s="29">
        <v>3</v>
      </c>
      <c r="K9" s="29">
        <v>3</v>
      </c>
      <c r="L9" s="29">
        <v>3</v>
      </c>
      <c r="M9" s="29">
        <v>3</v>
      </c>
      <c r="N9" s="29">
        <v>3</v>
      </c>
      <c r="O9" s="29">
        <v>3</v>
      </c>
      <c r="P9" s="29">
        <v>4</v>
      </c>
      <c r="Q9" s="29">
        <v>4</v>
      </c>
      <c r="R9" s="29">
        <v>3</v>
      </c>
      <c r="S9" s="29">
        <v>3</v>
      </c>
      <c r="T9" s="29">
        <v>3</v>
      </c>
      <c r="U9" s="29">
        <v>3</v>
      </c>
      <c r="V9" s="29">
        <v>3</v>
      </c>
      <c r="W9" s="29">
        <v>3</v>
      </c>
      <c r="X9" s="29">
        <v>3</v>
      </c>
      <c r="Y9" s="29">
        <v>4</v>
      </c>
      <c r="Z9" s="29">
        <v>4</v>
      </c>
      <c r="AA9" s="29">
        <v>3</v>
      </c>
      <c r="AB9" s="29">
        <v>4</v>
      </c>
    </row>
    <row r="10" spans="1:28" s="34" customFormat="1" x14ac:dyDescent="0.3">
      <c r="A10" s="26">
        <v>7</v>
      </c>
      <c r="B10" s="4" t="s">
        <v>55</v>
      </c>
      <c r="C10" s="8" t="s">
        <v>30</v>
      </c>
      <c r="D10" s="4" t="s">
        <v>73</v>
      </c>
      <c r="E10" s="4">
        <v>1</v>
      </c>
      <c r="F10" s="27" t="s">
        <v>36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2</v>
      </c>
      <c r="N10" s="29">
        <v>1</v>
      </c>
      <c r="O10" s="29">
        <v>1</v>
      </c>
      <c r="P10" s="29">
        <v>2</v>
      </c>
      <c r="Q10" s="29">
        <v>1</v>
      </c>
      <c r="R10" s="29">
        <v>2</v>
      </c>
      <c r="S10" s="29">
        <v>1</v>
      </c>
      <c r="T10" s="29">
        <v>2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 s="34" customFormat="1" x14ac:dyDescent="0.3">
      <c r="A11" s="26">
        <v>8</v>
      </c>
      <c r="B11" s="4" t="s">
        <v>55</v>
      </c>
      <c r="C11" s="8" t="s">
        <v>30</v>
      </c>
      <c r="D11" s="4" t="s">
        <v>70</v>
      </c>
      <c r="E11" s="4">
        <v>1</v>
      </c>
      <c r="F11" s="27" t="s">
        <v>36</v>
      </c>
      <c r="G11" s="29">
        <v>4</v>
      </c>
      <c r="H11" s="29">
        <v>4</v>
      </c>
      <c r="I11" s="29">
        <v>4</v>
      </c>
      <c r="J11" s="29">
        <v>3</v>
      </c>
      <c r="K11" s="29">
        <v>3</v>
      </c>
      <c r="L11" s="29">
        <v>4</v>
      </c>
      <c r="M11" s="29">
        <v>5</v>
      </c>
      <c r="N11" s="29">
        <v>4</v>
      </c>
      <c r="O11" s="29">
        <v>3</v>
      </c>
      <c r="P11" s="29">
        <v>3</v>
      </c>
      <c r="Q11" s="29">
        <v>3</v>
      </c>
      <c r="R11" s="29">
        <v>3</v>
      </c>
      <c r="S11" s="29">
        <v>3</v>
      </c>
      <c r="T11" s="29">
        <v>3</v>
      </c>
      <c r="U11" s="29">
        <v>3</v>
      </c>
      <c r="V11" s="29">
        <v>3</v>
      </c>
      <c r="W11" s="29">
        <v>3</v>
      </c>
      <c r="X11" s="29">
        <v>3</v>
      </c>
      <c r="Y11" s="29">
        <v>4</v>
      </c>
      <c r="Z11" s="29">
        <v>3</v>
      </c>
      <c r="AA11" s="29">
        <v>4</v>
      </c>
      <c r="AB11" s="29">
        <v>4</v>
      </c>
    </row>
    <row r="12" spans="1:28" s="34" customFormat="1" x14ac:dyDescent="0.3">
      <c r="A12" s="26">
        <v>9</v>
      </c>
      <c r="B12" s="4" t="s">
        <v>55</v>
      </c>
      <c r="C12" s="8" t="s">
        <v>30</v>
      </c>
      <c r="D12" s="4" t="s">
        <v>70</v>
      </c>
      <c r="E12" s="4">
        <v>2</v>
      </c>
      <c r="F12" s="27" t="s">
        <v>32</v>
      </c>
      <c r="G12" s="29">
        <v>2</v>
      </c>
      <c r="H12" s="29">
        <v>3</v>
      </c>
      <c r="I12" s="29">
        <v>1</v>
      </c>
      <c r="J12" s="29">
        <v>3</v>
      </c>
      <c r="K12" s="29">
        <v>3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2</v>
      </c>
      <c r="R12" s="29">
        <v>2</v>
      </c>
      <c r="S12" s="29">
        <v>2</v>
      </c>
      <c r="T12" s="29">
        <v>1</v>
      </c>
      <c r="U12" s="29">
        <v>3</v>
      </c>
      <c r="V12" s="29">
        <v>2</v>
      </c>
      <c r="W12" s="29">
        <v>3</v>
      </c>
      <c r="X12" s="29">
        <v>1</v>
      </c>
      <c r="Y12" s="29">
        <v>3</v>
      </c>
      <c r="Z12" s="29">
        <v>3</v>
      </c>
      <c r="AA12" s="29">
        <v>2</v>
      </c>
      <c r="AB12" s="29">
        <v>3</v>
      </c>
    </row>
    <row r="13" spans="1:28" s="34" customFormat="1" x14ac:dyDescent="0.3">
      <c r="A13" s="26">
        <v>10</v>
      </c>
      <c r="B13" s="4" t="s">
        <v>55</v>
      </c>
      <c r="C13" s="8" t="s">
        <v>30</v>
      </c>
      <c r="D13" s="4" t="s">
        <v>70</v>
      </c>
      <c r="E13" s="32">
        <v>1</v>
      </c>
      <c r="F13" s="27" t="s">
        <v>32</v>
      </c>
      <c r="G13" s="29">
        <v>3</v>
      </c>
      <c r="H13" s="29">
        <v>3</v>
      </c>
      <c r="I13" s="29">
        <v>3</v>
      </c>
      <c r="J13" s="29">
        <v>3</v>
      </c>
      <c r="K13" s="29">
        <v>3</v>
      </c>
      <c r="L13" s="29">
        <v>3</v>
      </c>
      <c r="M13" s="29">
        <v>3</v>
      </c>
      <c r="N13" s="29">
        <v>3</v>
      </c>
      <c r="O13" s="29">
        <v>3</v>
      </c>
      <c r="P13" s="29">
        <v>3</v>
      </c>
      <c r="Q13" s="29">
        <v>3</v>
      </c>
      <c r="R13" s="29">
        <v>3</v>
      </c>
      <c r="S13" s="29">
        <v>3</v>
      </c>
      <c r="T13" s="29">
        <v>3</v>
      </c>
      <c r="U13" s="29">
        <v>3</v>
      </c>
      <c r="V13" s="29">
        <v>3</v>
      </c>
      <c r="W13" s="29">
        <v>3</v>
      </c>
      <c r="X13" s="29">
        <v>3</v>
      </c>
      <c r="Y13" s="29">
        <v>3</v>
      </c>
      <c r="Z13" s="29">
        <v>3</v>
      </c>
      <c r="AA13" s="29">
        <v>3</v>
      </c>
      <c r="AB13" s="29">
        <v>3</v>
      </c>
    </row>
    <row r="14" spans="1:28" s="34" customFormat="1" x14ac:dyDescent="0.3">
      <c r="A14" s="26">
        <v>11</v>
      </c>
      <c r="B14" s="4" t="s">
        <v>55</v>
      </c>
      <c r="C14" s="8" t="s">
        <v>30</v>
      </c>
      <c r="D14" s="4" t="s">
        <v>72</v>
      </c>
      <c r="E14" s="4">
        <v>2</v>
      </c>
      <c r="F14" s="35" t="s">
        <v>36</v>
      </c>
      <c r="G14" s="29">
        <v>3</v>
      </c>
      <c r="H14" s="29">
        <v>4</v>
      </c>
      <c r="I14" s="29">
        <v>3</v>
      </c>
      <c r="J14" s="29">
        <v>3</v>
      </c>
      <c r="K14" s="29">
        <v>3</v>
      </c>
      <c r="L14" s="29">
        <v>3</v>
      </c>
      <c r="M14" s="29">
        <v>3</v>
      </c>
      <c r="N14" s="29">
        <v>3</v>
      </c>
      <c r="O14" s="29">
        <v>3</v>
      </c>
      <c r="P14" s="29">
        <v>3</v>
      </c>
      <c r="Q14" s="29">
        <v>3</v>
      </c>
      <c r="R14" s="29">
        <v>3</v>
      </c>
      <c r="S14" s="29">
        <v>3</v>
      </c>
      <c r="T14" s="29">
        <v>3</v>
      </c>
      <c r="U14" s="29">
        <v>3</v>
      </c>
      <c r="V14" s="29">
        <v>3</v>
      </c>
      <c r="W14" s="29">
        <v>4</v>
      </c>
      <c r="X14" s="29">
        <v>3</v>
      </c>
      <c r="Y14" s="29">
        <v>3</v>
      </c>
      <c r="Z14" s="29">
        <v>3</v>
      </c>
      <c r="AA14" s="29">
        <v>3</v>
      </c>
      <c r="AB14" s="29">
        <v>4</v>
      </c>
    </row>
    <row r="15" spans="1:28" s="34" customFormat="1" x14ac:dyDescent="0.3">
      <c r="A15" s="26">
        <v>12</v>
      </c>
      <c r="B15" s="4" t="s">
        <v>55</v>
      </c>
      <c r="C15" s="8" t="s">
        <v>30</v>
      </c>
      <c r="D15" s="4" t="s">
        <v>73</v>
      </c>
      <c r="E15" s="4">
        <v>1</v>
      </c>
      <c r="F15" s="35" t="s">
        <v>36</v>
      </c>
      <c r="G15" s="29">
        <v>3</v>
      </c>
      <c r="H15" s="29">
        <v>4</v>
      </c>
      <c r="I15" s="29">
        <v>3</v>
      </c>
      <c r="J15" s="29">
        <v>3</v>
      </c>
      <c r="K15" s="29">
        <v>3</v>
      </c>
      <c r="L15" s="29">
        <v>3</v>
      </c>
      <c r="M15" s="29">
        <v>3</v>
      </c>
      <c r="N15" s="29">
        <v>3</v>
      </c>
      <c r="O15" s="29">
        <v>3</v>
      </c>
      <c r="P15" s="29">
        <v>3</v>
      </c>
      <c r="Q15" s="29">
        <v>3</v>
      </c>
      <c r="R15" s="29">
        <v>3</v>
      </c>
      <c r="S15" s="29">
        <v>3</v>
      </c>
      <c r="T15" s="29">
        <v>3</v>
      </c>
      <c r="U15" s="29">
        <v>3</v>
      </c>
      <c r="V15" s="29">
        <v>3</v>
      </c>
      <c r="W15" s="29">
        <v>3</v>
      </c>
      <c r="X15" s="29">
        <v>4</v>
      </c>
      <c r="Y15" s="29">
        <v>3</v>
      </c>
      <c r="Z15" s="29">
        <v>3</v>
      </c>
      <c r="AA15" s="29">
        <v>3</v>
      </c>
      <c r="AB15" s="29">
        <v>3</v>
      </c>
    </row>
    <row r="16" spans="1:28" s="34" customFormat="1" x14ac:dyDescent="0.3">
      <c r="A16" s="26">
        <v>13</v>
      </c>
      <c r="B16" s="4" t="s">
        <v>55</v>
      </c>
      <c r="C16" s="8" t="s">
        <v>30</v>
      </c>
      <c r="D16" s="4" t="s">
        <v>70</v>
      </c>
      <c r="E16" s="4">
        <v>1</v>
      </c>
      <c r="F16" s="35" t="s">
        <v>32</v>
      </c>
      <c r="G16" s="29">
        <v>3</v>
      </c>
      <c r="H16" s="29">
        <v>4</v>
      </c>
      <c r="I16" s="29">
        <v>3</v>
      </c>
      <c r="J16" s="29">
        <v>3</v>
      </c>
      <c r="K16" s="29">
        <v>3</v>
      </c>
      <c r="L16" s="29">
        <v>4</v>
      </c>
      <c r="M16" s="29">
        <v>4</v>
      </c>
      <c r="N16" s="29">
        <v>3</v>
      </c>
      <c r="O16" s="29">
        <v>4</v>
      </c>
      <c r="P16" s="29">
        <v>3</v>
      </c>
      <c r="Q16" s="29">
        <v>3</v>
      </c>
      <c r="R16" s="29">
        <v>3</v>
      </c>
      <c r="S16" s="29">
        <v>3</v>
      </c>
      <c r="T16" s="29">
        <v>3</v>
      </c>
      <c r="U16" s="29">
        <v>3</v>
      </c>
      <c r="V16" s="29">
        <v>3</v>
      </c>
      <c r="W16" s="29">
        <v>3</v>
      </c>
      <c r="X16" s="29">
        <v>3</v>
      </c>
      <c r="Y16" s="29">
        <v>3</v>
      </c>
      <c r="Z16" s="29">
        <v>3</v>
      </c>
      <c r="AA16" s="29">
        <v>3</v>
      </c>
      <c r="AB16" s="29">
        <v>4</v>
      </c>
    </row>
    <row r="17" spans="1:28" s="34" customFormat="1" x14ac:dyDescent="0.3">
      <c r="A17" s="26">
        <v>14</v>
      </c>
      <c r="B17" s="4" t="s">
        <v>55</v>
      </c>
      <c r="C17" s="8" t="s">
        <v>30</v>
      </c>
      <c r="D17" s="4" t="s">
        <v>70</v>
      </c>
      <c r="E17" s="4">
        <v>1</v>
      </c>
      <c r="F17" s="35" t="s">
        <v>32</v>
      </c>
      <c r="G17" s="29">
        <v>4</v>
      </c>
      <c r="H17" s="29">
        <v>5</v>
      </c>
      <c r="I17" s="29">
        <v>3</v>
      </c>
      <c r="J17" s="29">
        <v>3</v>
      </c>
      <c r="K17" s="29">
        <v>3</v>
      </c>
      <c r="L17" s="29">
        <v>3</v>
      </c>
      <c r="M17" s="29">
        <v>3</v>
      </c>
      <c r="N17" s="29">
        <v>4</v>
      </c>
      <c r="O17" s="29">
        <v>4</v>
      </c>
      <c r="P17" s="29">
        <v>3</v>
      </c>
      <c r="Q17" s="29">
        <v>3</v>
      </c>
      <c r="R17" s="29">
        <v>3</v>
      </c>
      <c r="S17" s="29">
        <v>3</v>
      </c>
      <c r="T17" s="29">
        <v>3</v>
      </c>
      <c r="U17" s="29">
        <v>3</v>
      </c>
      <c r="V17" s="29">
        <v>3</v>
      </c>
      <c r="W17" s="29">
        <v>4</v>
      </c>
      <c r="X17" s="29">
        <v>4</v>
      </c>
      <c r="Y17" s="29">
        <v>5</v>
      </c>
      <c r="Z17" s="29">
        <v>5</v>
      </c>
      <c r="AA17" s="29">
        <v>5</v>
      </c>
      <c r="AB17" s="29">
        <v>5</v>
      </c>
    </row>
    <row r="18" spans="1:28" s="34" customFormat="1" x14ac:dyDescent="0.3">
      <c r="A18" s="26">
        <v>15</v>
      </c>
      <c r="B18" s="4" t="s">
        <v>55</v>
      </c>
      <c r="C18" s="8" t="s">
        <v>30</v>
      </c>
      <c r="D18" s="4" t="s">
        <v>70</v>
      </c>
      <c r="E18" s="4">
        <v>2</v>
      </c>
      <c r="F18" s="35" t="s">
        <v>32</v>
      </c>
      <c r="G18" s="29">
        <v>5</v>
      </c>
      <c r="H18" s="29">
        <v>4</v>
      </c>
      <c r="I18" s="29">
        <v>3</v>
      </c>
      <c r="J18" s="29">
        <v>4</v>
      </c>
      <c r="K18" s="29">
        <v>4</v>
      </c>
      <c r="L18" s="29">
        <v>3</v>
      </c>
      <c r="M18" s="29">
        <v>4</v>
      </c>
      <c r="N18" s="29">
        <v>4</v>
      </c>
      <c r="O18" s="29">
        <v>3</v>
      </c>
      <c r="P18" s="29">
        <v>3</v>
      </c>
      <c r="Q18" s="29">
        <v>3</v>
      </c>
      <c r="R18" s="29">
        <v>4</v>
      </c>
      <c r="S18" s="29">
        <v>4</v>
      </c>
      <c r="T18" s="29">
        <v>3</v>
      </c>
      <c r="U18" s="29">
        <v>3</v>
      </c>
      <c r="V18" s="29">
        <v>3</v>
      </c>
      <c r="W18" s="29">
        <v>3</v>
      </c>
      <c r="X18" s="29">
        <v>4</v>
      </c>
      <c r="Y18" s="29">
        <v>4</v>
      </c>
      <c r="Z18" s="29">
        <v>4</v>
      </c>
      <c r="AA18" s="29">
        <v>3</v>
      </c>
      <c r="AB18" s="29">
        <v>4</v>
      </c>
    </row>
    <row r="19" spans="1:28" s="34" customFormat="1" x14ac:dyDescent="0.3">
      <c r="A19" s="26">
        <v>16</v>
      </c>
      <c r="B19" s="4" t="s">
        <v>55</v>
      </c>
      <c r="C19" s="8" t="s">
        <v>30</v>
      </c>
      <c r="D19" s="4" t="s">
        <v>74</v>
      </c>
      <c r="E19" s="4">
        <v>2</v>
      </c>
      <c r="F19" s="35" t="s">
        <v>32</v>
      </c>
      <c r="G19" s="29">
        <v>3</v>
      </c>
      <c r="H19" s="29">
        <v>3</v>
      </c>
      <c r="I19" s="29">
        <v>3</v>
      </c>
      <c r="J19" s="29">
        <v>3</v>
      </c>
      <c r="K19" s="29">
        <v>3</v>
      </c>
      <c r="L19" s="29">
        <v>4</v>
      </c>
      <c r="M19" s="29">
        <v>3</v>
      </c>
      <c r="N19" s="29">
        <v>3</v>
      </c>
      <c r="O19" s="29">
        <v>3</v>
      </c>
      <c r="P19" s="29">
        <v>4</v>
      </c>
      <c r="Q19" s="29">
        <v>3</v>
      </c>
      <c r="R19" s="29">
        <v>3</v>
      </c>
      <c r="S19" s="29">
        <v>3</v>
      </c>
      <c r="T19" s="29">
        <v>3</v>
      </c>
      <c r="U19" s="29">
        <v>3</v>
      </c>
      <c r="V19" s="29">
        <v>3</v>
      </c>
      <c r="W19" s="29">
        <v>3</v>
      </c>
      <c r="X19" s="29">
        <v>3</v>
      </c>
      <c r="Y19" s="29">
        <v>3</v>
      </c>
      <c r="Z19" s="29">
        <v>3</v>
      </c>
      <c r="AA19" s="29">
        <v>3</v>
      </c>
      <c r="AB19" s="29">
        <v>3</v>
      </c>
    </row>
    <row r="20" spans="1:28" s="34" customFormat="1" x14ac:dyDescent="0.3">
      <c r="A20" s="26">
        <v>17</v>
      </c>
      <c r="B20" s="4" t="s">
        <v>55</v>
      </c>
      <c r="C20" s="8" t="s">
        <v>30</v>
      </c>
      <c r="D20" s="4" t="s">
        <v>71</v>
      </c>
      <c r="E20" s="4">
        <v>2</v>
      </c>
      <c r="F20" s="35" t="s">
        <v>32</v>
      </c>
      <c r="G20" s="29">
        <v>1</v>
      </c>
      <c r="H20" s="29">
        <v>2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2</v>
      </c>
      <c r="S20" s="29">
        <v>1</v>
      </c>
      <c r="T20" s="29">
        <v>2</v>
      </c>
      <c r="U20" s="29">
        <v>2</v>
      </c>
      <c r="V20" s="29">
        <v>2</v>
      </c>
      <c r="W20" s="29">
        <v>2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 s="34" customFormat="1" x14ac:dyDescent="0.3">
      <c r="A21" s="26">
        <v>18</v>
      </c>
      <c r="B21" s="4" t="s">
        <v>55</v>
      </c>
      <c r="C21" s="8" t="s">
        <v>30</v>
      </c>
      <c r="D21" s="4" t="s">
        <v>70</v>
      </c>
      <c r="E21" s="4">
        <v>1</v>
      </c>
      <c r="F21" s="35" t="s">
        <v>32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2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 s="34" customFormat="1" x14ac:dyDescent="0.3">
      <c r="A22" s="26">
        <v>19</v>
      </c>
      <c r="B22" s="4" t="s">
        <v>55</v>
      </c>
      <c r="C22" s="8" t="s">
        <v>30</v>
      </c>
      <c r="D22" s="4" t="s">
        <v>70</v>
      </c>
      <c r="E22" s="4">
        <v>2</v>
      </c>
      <c r="F22" s="35" t="s">
        <v>32</v>
      </c>
      <c r="G22" s="29">
        <v>3</v>
      </c>
      <c r="H22" s="29">
        <v>3</v>
      </c>
      <c r="I22" s="29">
        <v>3</v>
      </c>
      <c r="J22" s="29">
        <v>4</v>
      </c>
      <c r="K22" s="29">
        <v>5</v>
      </c>
      <c r="L22" s="29">
        <v>3</v>
      </c>
      <c r="M22" s="29">
        <v>4</v>
      </c>
      <c r="N22" s="29">
        <v>3</v>
      </c>
      <c r="O22" s="29">
        <v>2</v>
      </c>
      <c r="P22" s="29">
        <v>4</v>
      </c>
      <c r="Q22" s="29">
        <v>4</v>
      </c>
      <c r="R22" s="29">
        <v>4</v>
      </c>
      <c r="S22" s="29">
        <v>4</v>
      </c>
      <c r="T22" s="29">
        <v>2</v>
      </c>
      <c r="U22" s="29">
        <v>4</v>
      </c>
      <c r="V22" s="29">
        <v>3</v>
      </c>
      <c r="W22" s="29">
        <v>3</v>
      </c>
      <c r="X22" s="29">
        <v>3</v>
      </c>
      <c r="Y22" s="29">
        <v>4</v>
      </c>
      <c r="Z22" s="29">
        <v>4</v>
      </c>
      <c r="AA22" s="29">
        <v>3</v>
      </c>
      <c r="AB22" s="29">
        <v>4</v>
      </c>
    </row>
    <row r="23" spans="1:28" s="30" customFormat="1" x14ac:dyDescent="0.3">
      <c r="A23" s="26">
        <v>20</v>
      </c>
      <c r="B23" s="4" t="s">
        <v>55</v>
      </c>
      <c r="C23" s="8" t="s">
        <v>30</v>
      </c>
      <c r="D23" s="4" t="s">
        <v>74</v>
      </c>
      <c r="E23" s="4">
        <v>1</v>
      </c>
      <c r="F23" s="35" t="s">
        <v>32</v>
      </c>
      <c r="G23" s="29">
        <v>2</v>
      </c>
      <c r="H23" s="29">
        <v>3</v>
      </c>
      <c r="I23" s="29">
        <v>4</v>
      </c>
      <c r="J23" s="29">
        <v>3</v>
      </c>
      <c r="K23" s="29">
        <v>2</v>
      </c>
      <c r="L23" s="29">
        <v>4</v>
      </c>
      <c r="M23" s="29">
        <v>4</v>
      </c>
      <c r="N23" s="29">
        <v>3</v>
      </c>
      <c r="O23" s="29">
        <v>5</v>
      </c>
      <c r="P23" s="29">
        <v>4</v>
      </c>
      <c r="Q23" s="29">
        <v>2</v>
      </c>
      <c r="R23" s="29">
        <v>2</v>
      </c>
      <c r="S23" s="29">
        <v>3</v>
      </c>
      <c r="T23" s="29">
        <v>1</v>
      </c>
      <c r="U23" s="29">
        <v>3</v>
      </c>
      <c r="V23" s="29">
        <v>2</v>
      </c>
      <c r="W23" s="29">
        <v>4</v>
      </c>
      <c r="X23" s="29">
        <v>3</v>
      </c>
      <c r="Y23" s="29">
        <v>5</v>
      </c>
      <c r="Z23" s="29">
        <v>4</v>
      </c>
      <c r="AA23" s="29">
        <v>3</v>
      </c>
      <c r="AB23" s="29">
        <v>4</v>
      </c>
    </row>
    <row r="24" spans="1:28" s="30" customFormat="1" x14ac:dyDescent="0.3">
      <c r="A24" s="26">
        <v>21</v>
      </c>
      <c r="B24" s="4" t="s">
        <v>55</v>
      </c>
      <c r="C24" s="8" t="s">
        <v>30</v>
      </c>
      <c r="D24" s="4" t="s">
        <v>70</v>
      </c>
      <c r="E24" s="4">
        <v>1</v>
      </c>
      <c r="F24" s="35" t="s">
        <v>32</v>
      </c>
      <c r="G24" s="29">
        <v>4</v>
      </c>
      <c r="H24" s="29">
        <v>5</v>
      </c>
      <c r="I24" s="29">
        <v>4</v>
      </c>
      <c r="J24" s="29">
        <v>4</v>
      </c>
      <c r="K24" s="29">
        <v>5</v>
      </c>
      <c r="L24" s="29">
        <v>5</v>
      </c>
      <c r="M24" s="29">
        <v>5</v>
      </c>
      <c r="N24" s="29">
        <v>3</v>
      </c>
      <c r="O24" s="29">
        <v>5</v>
      </c>
      <c r="P24" s="29">
        <v>5</v>
      </c>
      <c r="Q24" s="29">
        <v>5</v>
      </c>
      <c r="R24" s="29">
        <v>5</v>
      </c>
      <c r="S24" s="29">
        <v>5</v>
      </c>
      <c r="T24" s="29">
        <v>5</v>
      </c>
      <c r="U24" s="29">
        <v>4</v>
      </c>
      <c r="V24" s="29">
        <v>5</v>
      </c>
      <c r="W24" s="29">
        <v>3</v>
      </c>
      <c r="X24" s="29">
        <v>4</v>
      </c>
      <c r="Y24" s="29">
        <v>4</v>
      </c>
      <c r="Z24" s="29">
        <v>3</v>
      </c>
      <c r="AA24" s="29">
        <v>4</v>
      </c>
      <c r="AB24" s="29">
        <v>4</v>
      </c>
    </row>
    <row r="25" spans="1:28" s="34" customFormat="1" x14ac:dyDescent="0.3">
      <c r="A25" s="26">
        <v>22</v>
      </c>
      <c r="B25" s="4" t="s">
        <v>55</v>
      </c>
      <c r="C25" s="8" t="s">
        <v>30</v>
      </c>
      <c r="D25" s="36" t="s">
        <v>75</v>
      </c>
      <c r="E25" s="4">
        <v>1</v>
      </c>
      <c r="F25" s="27" t="s">
        <v>36</v>
      </c>
      <c r="G25" s="29">
        <v>4</v>
      </c>
      <c r="H25" s="29">
        <v>4</v>
      </c>
      <c r="I25" s="29">
        <v>4</v>
      </c>
      <c r="J25" s="29">
        <v>4</v>
      </c>
      <c r="K25" s="29">
        <v>4</v>
      </c>
      <c r="L25" s="29">
        <v>3</v>
      </c>
      <c r="M25" s="29">
        <v>3</v>
      </c>
      <c r="N25" s="29">
        <v>4</v>
      </c>
      <c r="O25" s="29">
        <v>3</v>
      </c>
      <c r="P25" s="29">
        <v>5</v>
      </c>
      <c r="Q25" s="29">
        <v>4</v>
      </c>
      <c r="R25" s="29">
        <v>4</v>
      </c>
      <c r="S25" s="29">
        <v>4</v>
      </c>
      <c r="T25" s="29">
        <v>3</v>
      </c>
      <c r="U25" s="29">
        <v>3</v>
      </c>
      <c r="V25" s="29">
        <v>3</v>
      </c>
      <c r="W25" s="29">
        <v>3</v>
      </c>
      <c r="X25" s="29">
        <v>3</v>
      </c>
      <c r="Y25" s="29">
        <v>5</v>
      </c>
      <c r="Z25" s="29">
        <v>5</v>
      </c>
      <c r="AA25" s="29">
        <v>4</v>
      </c>
      <c r="AB25" s="29">
        <v>5</v>
      </c>
    </row>
    <row r="26" spans="1:28" x14ac:dyDescent="0.3">
      <c r="A26" s="26">
        <v>23</v>
      </c>
      <c r="B26" s="4" t="s">
        <v>55</v>
      </c>
      <c r="C26" s="8" t="s">
        <v>30</v>
      </c>
      <c r="D26" s="4" t="s">
        <v>72</v>
      </c>
      <c r="E26" s="4">
        <v>1</v>
      </c>
      <c r="F26" s="27" t="s">
        <v>36</v>
      </c>
      <c r="G26" s="29">
        <v>3</v>
      </c>
      <c r="H26" s="29">
        <v>5</v>
      </c>
      <c r="I26" s="29">
        <v>3</v>
      </c>
      <c r="J26" s="29">
        <v>3</v>
      </c>
      <c r="K26" s="29">
        <v>3</v>
      </c>
      <c r="L26" s="29">
        <v>4</v>
      </c>
      <c r="M26" s="29">
        <v>4</v>
      </c>
      <c r="N26" s="29">
        <v>3</v>
      </c>
      <c r="O26" s="29">
        <v>4</v>
      </c>
      <c r="P26" s="29">
        <v>4</v>
      </c>
      <c r="Q26" s="29">
        <v>4</v>
      </c>
      <c r="R26" s="29">
        <v>4</v>
      </c>
      <c r="S26" s="29">
        <v>4</v>
      </c>
      <c r="T26" s="29">
        <v>3</v>
      </c>
      <c r="U26" s="29">
        <v>3</v>
      </c>
      <c r="V26" s="29">
        <v>4</v>
      </c>
      <c r="W26" s="29">
        <v>4</v>
      </c>
      <c r="X26" s="29">
        <v>4</v>
      </c>
      <c r="Y26" s="29">
        <v>4</v>
      </c>
      <c r="Z26" s="29">
        <v>4</v>
      </c>
      <c r="AA26" s="29">
        <v>5</v>
      </c>
      <c r="AB26" s="29">
        <v>4</v>
      </c>
    </row>
    <row r="27" spans="1:28" x14ac:dyDescent="0.3">
      <c r="A27" s="26">
        <v>24</v>
      </c>
      <c r="B27" s="4" t="s">
        <v>55</v>
      </c>
      <c r="C27" s="8" t="s">
        <v>30</v>
      </c>
      <c r="D27" s="4" t="s">
        <v>74</v>
      </c>
      <c r="E27" s="4">
        <v>1</v>
      </c>
      <c r="F27" s="27" t="s">
        <v>32</v>
      </c>
      <c r="G27" s="29">
        <v>1</v>
      </c>
      <c r="H27" s="29">
        <v>3</v>
      </c>
      <c r="I27" s="29">
        <v>2</v>
      </c>
      <c r="J27" s="29">
        <v>2</v>
      </c>
      <c r="K27" s="29">
        <v>1</v>
      </c>
      <c r="L27" s="29">
        <v>2</v>
      </c>
      <c r="M27" s="29">
        <v>1</v>
      </c>
      <c r="N27" s="29">
        <v>2</v>
      </c>
      <c r="O27" s="29">
        <v>1</v>
      </c>
      <c r="P27" s="29">
        <v>2</v>
      </c>
      <c r="Q27" s="29">
        <v>2</v>
      </c>
      <c r="R27" s="29">
        <v>2</v>
      </c>
      <c r="S27" s="29">
        <v>3</v>
      </c>
      <c r="T27" s="29">
        <v>1</v>
      </c>
      <c r="U27" s="29">
        <v>2</v>
      </c>
      <c r="V27" s="29">
        <v>1</v>
      </c>
      <c r="W27" s="29">
        <v>2</v>
      </c>
      <c r="X27" s="29">
        <v>2</v>
      </c>
      <c r="Y27" s="29">
        <v>3</v>
      </c>
      <c r="Z27" s="29">
        <v>3</v>
      </c>
      <c r="AA27" s="29">
        <v>2</v>
      </c>
      <c r="AB27" s="29">
        <v>3</v>
      </c>
    </row>
    <row r="28" spans="1:28" x14ac:dyDescent="0.3">
      <c r="A28" s="26">
        <v>25</v>
      </c>
      <c r="B28" s="4" t="s">
        <v>55</v>
      </c>
      <c r="C28" s="8" t="s">
        <v>30</v>
      </c>
      <c r="D28" s="4" t="s">
        <v>73</v>
      </c>
      <c r="E28" s="4">
        <v>1</v>
      </c>
      <c r="F28" s="27" t="s">
        <v>36</v>
      </c>
      <c r="G28" s="29">
        <v>3</v>
      </c>
      <c r="H28" s="29">
        <v>4</v>
      </c>
      <c r="I28" s="29">
        <v>3</v>
      </c>
      <c r="J28" s="29">
        <v>4</v>
      </c>
      <c r="K28" s="29">
        <v>4</v>
      </c>
      <c r="L28" s="29">
        <v>3</v>
      </c>
      <c r="M28" s="29">
        <v>3</v>
      </c>
      <c r="N28" s="29">
        <v>3</v>
      </c>
      <c r="O28" s="29">
        <v>2</v>
      </c>
      <c r="P28" s="29">
        <v>2</v>
      </c>
      <c r="Q28" s="29">
        <v>4</v>
      </c>
      <c r="R28" s="29">
        <v>3</v>
      </c>
      <c r="S28" s="29">
        <v>3</v>
      </c>
      <c r="T28" s="29">
        <v>3</v>
      </c>
      <c r="U28" s="29">
        <v>2</v>
      </c>
      <c r="V28" s="29">
        <v>3</v>
      </c>
      <c r="W28" s="29">
        <v>4</v>
      </c>
      <c r="X28" s="29">
        <v>3</v>
      </c>
      <c r="Y28" s="29">
        <v>4</v>
      </c>
      <c r="Z28" s="29">
        <v>4</v>
      </c>
      <c r="AA28" s="29">
        <v>3</v>
      </c>
      <c r="AB28" s="29">
        <v>4</v>
      </c>
    </row>
    <row r="29" spans="1:28" x14ac:dyDescent="0.3">
      <c r="A29" s="26">
        <v>26</v>
      </c>
      <c r="B29" s="4" t="s">
        <v>55</v>
      </c>
      <c r="C29" s="8" t="s">
        <v>30</v>
      </c>
      <c r="D29" s="4" t="s">
        <v>70</v>
      </c>
      <c r="E29" s="4">
        <v>1</v>
      </c>
      <c r="F29" s="27" t="s">
        <v>32</v>
      </c>
      <c r="G29" s="29">
        <v>4</v>
      </c>
      <c r="H29" s="29">
        <v>4</v>
      </c>
      <c r="I29" s="29">
        <v>4</v>
      </c>
      <c r="J29" s="29">
        <v>3</v>
      </c>
      <c r="K29" s="29">
        <v>4</v>
      </c>
      <c r="L29" s="29">
        <v>4</v>
      </c>
      <c r="M29" s="29">
        <v>4</v>
      </c>
      <c r="N29" s="29">
        <v>4</v>
      </c>
      <c r="O29" s="29">
        <v>4</v>
      </c>
      <c r="P29" s="29">
        <v>4</v>
      </c>
      <c r="Q29" s="29">
        <v>4</v>
      </c>
      <c r="R29" s="29">
        <v>4</v>
      </c>
      <c r="S29" s="29">
        <v>4</v>
      </c>
      <c r="T29" s="29">
        <v>4</v>
      </c>
      <c r="U29" s="29">
        <v>3</v>
      </c>
      <c r="V29" s="29">
        <v>3</v>
      </c>
      <c r="W29" s="29">
        <v>4</v>
      </c>
      <c r="X29" s="29">
        <v>4</v>
      </c>
      <c r="Y29" s="29">
        <v>4</v>
      </c>
      <c r="Z29" s="29">
        <v>4</v>
      </c>
      <c r="AA29" s="29">
        <v>4</v>
      </c>
      <c r="AB29" s="29">
        <v>4</v>
      </c>
    </row>
    <row r="30" spans="1:28" x14ac:dyDescent="0.3">
      <c r="A30" s="26">
        <v>27</v>
      </c>
      <c r="B30" s="4" t="s">
        <v>55</v>
      </c>
      <c r="C30" s="8" t="s">
        <v>30</v>
      </c>
      <c r="D30" s="4" t="s">
        <v>70</v>
      </c>
      <c r="E30" s="4">
        <v>2</v>
      </c>
      <c r="F30" s="27" t="s">
        <v>36</v>
      </c>
      <c r="G30" s="29">
        <v>4</v>
      </c>
      <c r="H30" s="29">
        <v>5</v>
      </c>
      <c r="I30" s="29">
        <v>4</v>
      </c>
      <c r="J30" s="29">
        <v>4</v>
      </c>
      <c r="K30" s="29">
        <v>4</v>
      </c>
      <c r="L30" s="29">
        <v>3</v>
      </c>
      <c r="M30" s="29">
        <v>4</v>
      </c>
      <c r="N30" s="29">
        <v>5</v>
      </c>
      <c r="O30" s="29">
        <v>3</v>
      </c>
      <c r="P30" s="29">
        <v>3</v>
      </c>
      <c r="Q30" s="29">
        <v>4</v>
      </c>
      <c r="R30" s="29">
        <v>4</v>
      </c>
      <c r="S30" s="29">
        <v>4</v>
      </c>
      <c r="T30" s="29">
        <v>3</v>
      </c>
      <c r="U30" s="29">
        <v>4</v>
      </c>
      <c r="V30" s="29">
        <v>3</v>
      </c>
      <c r="W30" s="29">
        <v>4</v>
      </c>
      <c r="X30" s="29">
        <v>4</v>
      </c>
      <c r="Y30" s="29">
        <v>5</v>
      </c>
      <c r="Z30" s="29">
        <v>5</v>
      </c>
      <c r="AA30" s="29">
        <v>4</v>
      </c>
      <c r="AB30" s="29">
        <v>5</v>
      </c>
    </row>
    <row r="31" spans="1:28" x14ac:dyDescent="0.3">
      <c r="A31" s="26">
        <v>28</v>
      </c>
      <c r="B31" s="4" t="s">
        <v>55</v>
      </c>
      <c r="C31" s="8" t="s">
        <v>30</v>
      </c>
      <c r="D31" s="4" t="s">
        <v>74</v>
      </c>
      <c r="E31" s="4">
        <v>1</v>
      </c>
      <c r="F31" s="27" t="s">
        <v>36</v>
      </c>
      <c r="G31" s="29">
        <v>3</v>
      </c>
      <c r="H31" s="29">
        <v>5</v>
      </c>
      <c r="I31" s="29">
        <v>5</v>
      </c>
      <c r="J31" s="29">
        <v>3</v>
      </c>
      <c r="K31" s="29">
        <v>4</v>
      </c>
      <c r="L31" s="29">
        <v>5</v>
      </c>
      <c r="M31" s="29">
        <v>3</v>
      </c>
      <c r="N31" s="29">
        <v>3</v>
      </c>
      <c r="O31" s="29">
        <v>3</v>
      </c>
      <c r="P31" s="29">
        <v>3</v>
      </c>
      <c r="Q31" s="29">
        <v>5</v>
      </c>
      <c r="R31" s="29">
        <v>4</v>
      </c>
      <c r="S31" s="29">
        <v>3</v>
      </c>
      <c r="T31" s="29">
        <v>1</v>
      </c>
      <c r="U31" s="29">
        <v>4</v>
      </c>
      <c r="V31" s="29">
        <v>4</v>
      </c>
      <c r="W31" s="29">
        <v>4</v>
      </c>
      <c r="X31" s="29">
        <v>4</v>
      </c>
      <c r="Y31" s="29">
        <v>4</v>
      </c>
      <c r="Z31" s="29">
        <v>4</v>
      </c>
      <c r="AA31" s="29">
        <v>4</v>
      </c>
      <c r="AB31" s="29">
        <v>4</v>
      </c>
    </row>
    <row r="32" spans="1:28" x14ac:dyDescent="0.3">
      <c r="A32" s="26">
        <v>29</v>
      </c>
      <c r="B32" s="4"/>
      <c r="C32" s="8"/>
      <c r="D32" s="4"/>
      <c r="E32" s="4"/>
      <c r="F32" s="27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x14ac:dyDescent="0.3">
      <c r="A33" s="26">
        <v>30</v>
      </c>
      <c r="B33" s="4"/>
      <c r="C33" s="8"/>
      <c r="D33" s="4"/>
      <c r="E33" s="4"/>
      <c r="F33" s="27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x14ac:dyDescent="0.3">
      <c r="A34" s="26">
        <v>31</v>
      </c>
      <c r="B34" s="4"/>
      <c r="C34" s="8"/>
      <c r="D34" s="4"/>
      <c r="E34" s="4"/>
      <c r="F34" s="27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x14ac:dyDescent="0.3">
      <c r="A35" s="26">
        <v>32</v>
      </c>
      <c r="B35" s="4"/>
      <c r="C35" s="8"/>
      <c r="D35" s="4"/>
      <c r="E35" s="4"/>
      <c r="F35" s="27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x14ac:dyDescent="0.3">
      <c r="A36" s="26">
        <v>33</v>
      </c>
      <c r="B36" s="4"/>
      <c r="C36" s="8"/>
      <c r="D36" s="4"/>
      <c r="E36" s="4"/>
      <c r="F36" s="27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x14ac:dyDescent="0.3">
      <c r="A37" s="26">
        <v>34</v>
      </c>
      <c r="B37" s="4"/>
      <c r="C37" s="8"/>
      <c r="D37" s="27"/>
      <c r="E37" s="32"/>
      <c r="F37" s="27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x14ac:dyDescent="0.3">
      <c r="A38" s="26">
        <v>35</v>
      </c>
      <c r="B38" s="4"/>
      <c r="C38" s="8"/>
      <c r="D38" s="27"/>
      <c r="E38" s="32"/>
      <c r="F38" s="27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x14ac:dyDescent="0.3">
      <c r="A39" s="26">
        <v>36</v>
      </c>
      <c r="B39" s="4"/>
      <c r="C39" s="8"/>
      <c r="D39" s="27"/>
      <c r="E39" s="32"/>
      <c r="F39" s="27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x14ac:dyDescent="0.3">
      <c r="A40" s="26">
        <v>37</v>
      </c>
      <c r="B40" s="4"/>
      <c r="C40" s="8"/>
      <c r="D40" s="35"/>
      <c r="E40" s="4"/>
      <c r="F40" s="3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x14ac:dyDescent="0.3">
      <c r="A41" s="26">
        <v>38</v>
      </c>
      <c r="B41" s="4"/>
      <c r="C41" s="8"/>
      <c r="D41" s="35"/>
      <c r="E41" s="4"/>
      <c r="F41" s="3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x14ac:dyDescent="0.3">
      <c r="A42" s="26">
        <v>39</v>
      </c>
      <c r="B42" s="4"/>
      <c r="C42" s="8"/>
      <c r="D42" s="35"/>
      <c r="E42" s="4"/>
      <c r="F42" s="3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x14ac:dyDescent="0.3">
      <c r="A43" s="26">
        <v>40</v>
      </c>
      <c r="B43" s="4"/>
      <c r="C43" s="8"/>
      <c r="D43" s="35"/>
      <c r="E43" s="4"/>
      <c r="F43" s="3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x14ac:dyDescent="0.3">
      <c r="A44" s="26">
        <v>41</v>
      </c>
      <c r="B44" s="4"/>
      <c r="C44" s="8"/>
      <c r="D44" s="35"/>
      <c r="E44" s="4"/>
      <c r="F44" s="3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x14ac:dyDescent="0.3">
      <c r="A45" s="26">
        <v>42</v>
      </c>
      <c r="B45" s="4"/>
      <c r="C45" s="8"/>
      <c r="D45" s="35"/>
      <c r="E45" s="4"/>
      <c r="F45" s="3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x14ac:dyDescent="0.3">
      <c r="A46" s="26">
        <v>43</v>
      </c>
      <c r="B46" s="4"/>
      <c r="C46" s="8"/>
      <c r="D46" s="35"/>
      <c r="E46" s="4"/>
      <c r="F46" s="3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x14ac:dyDescent="0.3">
      <c r="A47" s="26">
        <v>44</v>
      </c>
      <c r="B47" s="4"/>
      <c r="C47" s="8"/>
      <c r="D47" s="35"/>
      <c r="E47" s="4"/>
      <c r="F47" s="3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x14ac:dyDescent="0.3">
      <c r="A48" s="26">
        <v>45</v>
      </c>
      <c r="B48" s="4"/>
      <c r="C48" s="8"/>
      <c r="D48" s="35"/>
      <c r="E48" s="4"/>
      <c r="F48" s="3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x14ac:dyDescent="0.3">
      <c r="A49" s="26">
        <v>46</v>
      </c>
      <c r="B49" s="4"/>
      <c r="C49" s="8"/>
      <c r="D49" s="35"/>
      <c r="E49" s="4"/>
      <c r="F49" s="3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x14ac:dyDescent="0.3">
      <c r="A50" s="26">
        <v>47</v>
      </c>
      <c r="B50" s="4"/>
      <c r="C50" s="8"/>
      <c r="D50" s="35"/>
      <c r="E50" s="4"/>
      <c r="F50" s="3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x14ac:dyDescent="0.3">
      <c r="A51" s="26">
        <v>48</v>
      </c>
      <c r="B51" s="4"/>
      <c r="C51" s="8"/>
      <c r="D51" s="8"/>
      <c r="E51" s="4"/>
      <c r="F51" s="3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x14ac:dyDescent="0.3">
      <c r="A52" s="26">
        <v>49</v>
      </c>
      <c r="B52" s="4"/>
      <c r="C52" s="8"/>
      <c r="D52" s="35"/>
      <c r="E52" s="4"/>
      <c r="F52" s="3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x14ac:dyDescent="0.3">
      <c r="A53" s="26">
        <v>50</v>
      </c>
      <c r="B53" s="4"/>
      <c r="C53" s="8"/>
      <c r="D53" s="35"/>
      <c r="E53" s="4"/>
      <c r="F53" s="3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x14ac:dyDescent="0.3">
      <c r="A54" s="26">
        <v>51</v>
      </c>
      <c r="B54" s="4"/>
      <c r="C54" s="8"/>
      <c r="D54" s="35"/>
      <c r="E54" s="4"/>
      <c r="F54" s="3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x14ac:dyDescent="0.3">
      <c r="A55" s="26">
        <v>52</v>
      </c>
      <c r="B55" s="4"/>
      <c r="C55" s="8"/>
      <c r="D55" s="35"/>
      <c r="E55" s="4"/>
      <c r="F55" s="3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x14ac:dyDescent="0.3">
      <c r="A56" s="26">
        <v>53</v>
      </c>
      <c r="B56" s="4"/>
      <c r="C56" s="8"/>
      <c r="D56" s="35"/>
      <c r="E56" s="4"/>
      <c r="F56" s="3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x14ac:dyDescent="0.3">
      <c r="A57" s="26">
        <v>54</v>
      </c>
      <c r="B57" s="4"/>
      <c r="C57" s="8"/>
      <c r="D57" s="35"/>
      <c r="E57" s="4"/>
      <c r="F57" s="3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x14ac:dyDescent="0.3">
      <c r="A58" s="26">
        <v>55</v>
      </c>
      <c r="B58" s="4"/>
      <c r="C58" s="8"/>
      <c r="D58" s="35"/>
      <c r="E58" s="4"/>
      <c r="F58" s="3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x14ac:dyDescent="0.3">
      <c r="A59" s="26">
        <v>56</v>
      </c>
      <c r="B59" s="4"/>
      <c r="C59" s="8"/>
      <c r="D59" s="35"/>
      <c r="E59" s="4"/>
      <c r="F59" s="3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x14ac:dyDescent="0.3">
      <c r="A60" s="26">
        <v>57</v>
      </c>
      <c r="B60" s="4"/>
      <c r="C60" s="8"/>
      <c r="D60" s="35"/>
      <c r="E60" s="4"/>
      <c r="F60" s="3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x14ac:dyDescent="0.3">
      <c r="A61" s="26">
        <v>58</v>
      </c>
      <c r="B61" s="4"/>
      <c r="C61" s="8"/>
      <c r="D61" s="35"/>
      <c r="E61" s="4"/>
      <c r="F61" s="3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x14ac:dyDescent="0.3">
      <c r="A62" s="26">
        <v>59</v>
      </c>
      <c r="B62" s="4"/>
      <c r="C62" s="8"/>
      <c r="D62" s="35"/>
      <c r="E62" s="4"/>
      <c r="F62" s="3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x14ac:dyDescent="0.3">
      <c r="A63" s="26">
        <v>60</v>
      </c>
      <c r="B63" s="4"/>
      <c r="C63" s="8"/>
      <c r="D63" s="35"/>
      <c r="E63" s="4"/>
      <c r="F63" s="3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x14ac:dyDescent="0.3">
      <c r="A64" s="26">
        <v>61</v>
      </c>
      <c r="B64" s="4"/>
      <c r="C64" s="8"/>
      <c r="D64" s="35"/>
      <c r="E64" s="4"/>
      <c r="F64" s="3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x14ac:dyDescent="0.3">
      <c r="A65" s="26">
        <v>62</v>
      </c>
      <c r="B65" s="4"/>
      <c r="C65" s="8"/>
      <c r="D65" s="35"/>
      <c r="E65" s="4"/>
      <c r="F65" s="3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x14ac:dyDescent="0.3">
      <c r="A66" s="26">
        <v>63</v>
      </c>
      <c r="B66" s="4"/>
      <c r="C66" s="8"/>
      <c r="D66" s="35"/>
      <c r="E66" s="4"/>
      <c r="F66" s="3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x14ac:dyDescent="0.3">
      <c r="A67" s="26">
        <v>64</v>
      </c>
      <c r="B67" s="4"/>
      <c r="C67" s="8"/>
      <c r="D67" s="35"/>
      <c r="E67" s="4"/>
      <c r="F67" s="3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x14ac:dyDescent="0.3">
      <c r="A68" s="26">
        <v>65</v>
      </c>
      <c r="B68" s="4"/>
      <c r="C68" s="8"/>
      <c r="D68" s="35"/>
      <c r="E68" s="4"/>
      <c r="F68" s="3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x14ac:dyDescent="0.3">
      <c r="A69" s="26">
        <v>66</v>
      </c>
      <c r="B69" s="4"/>
      <c r="C69" s="8"/>
      <c r="D69" s="35"/>
      <c r="E69" s="4"/>
      <c r="F69" s="3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x14ac:dyDescent="0.3">
      <c r="A70" s="26">
        <v>67</v>
      </c>
      <c r="B70" s="4"/>
      <c r="C70" s="8"/>
      <c r="D70" s="35"/>
      <c r="E70" s="4"/>
      <c r="F70" s="3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x14ac:dyDescent="0.3">
      <c r="A71" s="26">
        <v>68</v>
      </c>
      <c r="B71" s="4"/>
      <c r="C71" s="8"/>
      <c r="D71" s="35"/>
      <c r="E71" s="4"/>
      <c r="F71" s="3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x14ac:dyDescent="0.3">
      <c r="A72" s="26">
        <v>69</v>
      </c>
      <c r="B72" s="4"/>
      <c r="C72" s="8"/>
      <c r="D72" s="35"/>
      <c r="E72" s="4"/>
      <c r="F72" s="3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x14ac:dyDescent="0.3">
      <c r="A73" s="26">
        <v>70</v>
      </c>
      <c r="B73" s="4"/>
      <c r="C73" s="8"/>
      <c r="D73" s="35"/>
      <c r="E73" s="4"/>
      <c r="F73" s="3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x14ac:dyDescent="0.3">
      <c r="A74" s="26">
        <v>71</v>
      </c>
      <c r="B74" s="4"/>
      <c r="C74" s="8"/>
      <c r="D74" s="35"/>
      <c r="E74" s="4"/>
      <c r="F74" s="3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x14ac:dyDescent="0.3">
      <c r="A75" s="26">
        <v>72</v>
      </c>
      <c r="B75" s="4"/>
      <c r="C75" s="8"/>
      <c r="D75" s="35"/>
      <c r="E75" s="4"/>
      <c r="F75" s="3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x14ac:dyDescent="0.3">
      <c r="A76" s="26">
        <v>73</v>
      </c>
      <c r="B76" s="4"/>
      <c r="C76" s="8"/>
      <c r="D76" s="35"/>
      <c r="E76" s="4"/>
      <c r="F76" s="3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x14ac:dyDescent="0.3">
      <c r="A77" s="26">
        <v>74</v>
      </c>
      <c r="B77" s="4"/>
      <c r="C77" s="8"/>
      <c r="D77" s="35"/>
      <c r="E77" s="4"/>
      <c r="F77" s="3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x14ac:dyDescent="0.3">
      <c r="A78" s="26">
        <v>75</v>
      </c>
      <c r="B78" s="4"/>
      <c r="C78" s="8"/>
      <c r="D78" s="35"/>
      <c r="E78" s="4"/>
      <c r="F78" s="3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x14ac:dyDescent="0.3">
      <c r="A79" s="26">
        <v>76</v>
      </c>
      <c r="B79" s="4"/>
      <c r="C79" s="8"/>
      <c r="D79" s="35"/>
      <c r="E79" s="4"/>
      <c r="F79" s="3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x14ac:dyDescent="0.3">
      <c r="A80" s="26">
        <v>77</v>
      </c>
      <c r="B80" s="4"/>
      <c r="C80" s="8"/>
      <c r="D80" s="35"/>
      <c r="E80" s="4"/>
      <c r="F80" s="3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x14ac:dyDescent="0.3">
      <c r="A81" s="26">
        <v>78</v>
      </c>
      <c r="B81" s="4"/>
      <c r="C81" s="8"/>
      <c r="D81" s="35"/>
      <c r="E81" s="4"/>
      <c r="F81" s="3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x14ac:dyDescent="0.3">
      <c r="A82" s="26">
        <v>79</v>
      </c>
      <c r="B82" s="4"/>
      <c r="C82" s="8"/>
      <c r="D82" s="35"/>
      <c r="E82" s="4"/>
      <c r="F82" s="3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x14ac:dyDescent="0.3">
      <c r="A83" s="26">
        <v>80</v>
      </c>
      <c r="B83" s="4"/>
      <c r="C83" s="8"/>
      <c r="D83" s="35"/>
      <c r="E83" s="4"/>
      <c r="F83" s="3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x14ac:dyDescent="0.3">
      <c r="A84" s="26">
        <v>81</v>
      </c>
      <c r="B84" s="4"/>
      <c r="C84" s="8"/>
      <c r="D84" s="35"/>
      <c r="E84" s="4"/>
      <c r="F84" s="3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x14ac:dyDescent="0.3">
      <c r="A85" s="26">
        <v>82</v>
      </c>
      <c r="B85" s="4"/>
      <c r="C85" s="8"/>
      <c r="D85" s="35"/>
      <c r="E85" s="4"/>
      <c r="F85" s="3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x14ac:dyDescent="0.3">
      <c r="A86" s="26">
        <v>83</v>
      </c>
      <c r="B86" s="4"/>
      <c r="C86" s="8"/>
      <c r="D86" s="35"/>
      <c r="E86" s="4"/>
      <c r="F86" s="3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 x14ac:dyDescent="0.3">
      <c r="A87" s="26">
        <v>84</v>
      </c>
      <c r="B87" s="4"/>
      <c r="C87" s="8"/>
      <c r="D87" s="35"/>
      <c r="E87" s="4"/>
      <c r="F87" s="3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x14ac:dyDescent="0.3">
      <c r="A88" s="26">
        <v>85</v>
      </c>
      <c r="B88" s="4"/>
      <c r="C88" s="8"/>
      <c r="D88" s="35"/>
      <c r="E88" s="4"/>
      <c r="F88" s="3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x14ac:dyDescent="0.3">
      <c r="A89" s="26">
        <v>86</v>
      </c>
      <c r="B89" s="4"/>
      <c r="C89" s="8"/>
      <c r="D89" s="35"/>
      <c r="E89" s="4"/>
      <c r="F89" s="3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x14ac:dyDescent="0.3">
      <c r="A90" s="26">
        <v>87</v>
      </c>
      <c r="B90" s="4"/>
      <c r="C90" s="8"/>
      <c r="D90" s="35"/>
      <c r="E90" s="4"/>
      <c r="F90" s="3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x14ac:dyDescent="0.3">
      <c r="A91" s="26">
        <v>88</v>
      </c>
      <c r="B91" s="4"/>
      <c r="C91" s="8"/>
      <c r="D91" s="35"/>
      <c r="E91" s="4"/>
      <c r="F91" s="3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x14ac:dyDescent="0.3">
      <c r="A92" s="26">
        <v>89</v>
      </c>
      <c r="B92" s="4"/>
      <c r="C92" s="8"/>
      <c r="D92" s="35"/>
      <c r="E92" s="4"/>
      <c r="F92" s="3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x14ac:dyDescent="0.3">
      <c r="A93" s="26">
        <v>90</v>
      </c>
      <c r="B93" s="4"/>
      <c r="C93" s="8"/>
      <c r="D93" s="35"/>
      <c r="E93" s="4"/>
      <c r="F93" s="3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 x14ac:dyDescent="0.3">
      <c r="A94" s="26">
        <v>91</v>
      </c>
      <c r="B94" s="4"/>
      <c r="C94" s="8"/>
      <c r="D94" s="35"/>
      <c r="E94" s="4"/>
      <c r="F94" s="3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x14ac:dyDescent="0.3">
      <c r="A95" s="26">
        <v>92</v>
      </c>
      <c r="B95" s="4"/>
      <c r="C95" s="8"/>
      <c r="D95" s="35"/>
      <c r="E95" s="4"/>
      <c r="F95" s="3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x14ac:dyDescent="0.3">
      <c r="A96" s="26">
        <v>93</v>
      </c>
      <c r="B96" s="4"/>
      <c r="C96" s="8"/>
      <c r="D96" s="35"/>
      <c r="E96" s="4"/>
      <c r="F96" s="3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x14ac:dyDescent="0.3">
      <c r="A97" s="26">
        <v>94</v>
      </c>
      <c r="B97" s="4"/>
      <c r="C97" s="8"/>
      <c r="D97" s="35"/>
      <c r="E97" s="4"/>
      <c r="F97" s="3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x14ac:dyDescent="0.3">
      <c r="A98" s="26">
        <v>95</v>
      </c>
      <c r="B98" s="4"/>
      <c r="C98" s="8"/>
      <c r="D98" s="35"/>
      <c r="E98" s="4"/>
      <c r="F98" s="3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x14ac:dyDescent="0.3">
      <c r="A99" s="26">
        <v>96</v>
      </c>
      <c r="B99" s="4"/>
      <c r="C99" s="8"/>
      <c r="D99" s="35"/>
      <c r="E99" s="4"/>
      <c r="F99" s="3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x14ac:dyDescent="0.3">
      <c r="A100" s="26">
        <v>97</v>
      </c>
      <c r="B100" s="4"/>
      <c r="C100" s="8"/>
      <c r="D100" s="35"/>
      <c r="E100" s="4"/>
      <c r="F100" s="3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x14ac:dyDescent="0.3">
      <c r="A101" s="26">
        <v>98</v>
      </c>
      <c r="B101" s="4"/>
      <c r="C101" s="8"/>
      <c r="D101" s="35"/>
      <c r="E101" s="4"/>
      <c r="F101" s="3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x14ac:dyDescent="0.3">
      <c r="A102" s="26">
        <v>99</v>
      </c>
      <c r="B102" s="4"/>
      <c r="C102" s="8"/>
      <c r="D102" s="35"/>
      <c r="E102" s="4"/>
      <c r="F102" s="3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x14ac:dyDescent="0.3">
      <c r="A103" s="26">
        <v>100</v>
      </c>
      <c r="B103" s="4"/>
      <c r="C103" s="8"/>
      <c r="D103" s="35"/>
      <c r="E103" s="4"/>
      <c r="F103" s="3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x14ac:dyDescent="0.3">
      <c r="A104" s="26">
        <v>101</v>
      </c>
      <c r="B104" s="4"/>
      <c r="C104" s="8"/>
      <c r="D104" s="35"/>
      <c r="E104" s="4"/>
      <c r="F104" s="3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x14ac:dyDescent="0.3">
      <c r="A105" s="26">
        <v>102</v>
      </c>
      <c r="B105" s="4"/>
      <c r="C105" s="8"/>
      <c r="D105" s="35"/>
      <c r="E105" s="4"/>
      <c r="F105" s="3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x14ac:dyDescent="0.3">
      <c r="A106" s="26">
        <v>103</v>
      </c>
      <c r="B106" s="4"/>
      <c r="C106" s="8"/>
      <c r="D106" s="35"/>
      <c r="E106" s="4"/>
      <c r="F106" s="3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 x14ac:dyDescent="0.3">
      <c r="A107" s="26">
        <v>104</v>
      </c>
      <c r="B107" s="4"/>
      <c r="C107" s="8"/>
      <c r="D107" s="35"/>
      <c r="E107" s="4"/>
      <c r="F107" s="3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 x14ac:dyDescent="0.3">
      <c r="A108" s="26">
        <v>105</v>
      </c>
      <c r="B108" s="4"/>
      <c r="C108" s="8"/>
      <c r="D108" s="35"/>
      <c r="E108" s="4"/>
      <c r="F108" s="3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 x14ac:dyDescent="0.3">
      <c r="A109" s="26">
        <v>106</v>
      </c>
      <c r="B109" s="4"/>
      <c r="C109" s="8"/>
      <c r="D109" s="35"/>
      <c r="E109" s="4"/>
      <c r="F109" s="3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 x14ac:dyDescent="0.3">
      <c r="A110" s="26">
        <v>107</v>
      </c>
      <c r="B110" s="4"/>
      <c r="C110" s="8"/>
      <c r="D110" s="35"/>
      <c r="E110" s="4"/>
      <c r="F110" s="3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x14ac:dyDescent="0.3">
      <c r="A111" s="26">
        <v>108</v>
      </c>
      <c r="B111" s="4"/>
      <c r="C111" s="8"/>
      <c r="D111" s="35"/>
      <c r="E111" s="4"/>
      <c r="F111" s="3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 x14ac:dyDescent="0.3">
      <c r="A112" s="26">
        <v>109</v>
      </c>
      <c r="B112" s="4"/>
      <c r="C112" s="8"/>
      <c r="D112" s="35"/>
      <c r="E112" s="4"/>
      <c r="F112" s="3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 x14ac:dyDescent="0.3">
      <c r="A113" s="26">
        <v>110</v>
      </c>
      <c r="B113" s="4"/>
      <c r="C113" s="8"/>
      <c r="D113" s="35"/>
      <c r="E113" s="4"/>
      <c r="F113" s="3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 x14ac:dyDescent="0.3">
      <c r="A114" s="26">
        <v>111</v>
      </c>
      <c r="B114" s="4"/>
      <c r="C114" s="8"/>
      <c r="D114" s="35"/>
      <c r="E114" s="4"/>
      <c r="F114" s="3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 x14ac:dyDescent="0.3">
      <c r="A115" s="26">
        <v>112</v>
      </c>
      <c r="B115" s="4"/>
      <c r="C115" s="8"/>
      <c r="D115" s="35"/>
      <c r="E115" s="4"/>
      <c r="F115" s="3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 x14ac:dyDescent="0.3">
      <c r="A116" s="26">
        <v>113</v>
      </c>
      <c r="B116" s="4"/>
      <c r="C116" s="8"/>
      <c r="D116" s="35"/>
      <c r="E116" s="4"/>
      <c r="F116" s="3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x14ac:dyDescent="0.3">
      <c r="A117" s="26">
        <v>114</v>
      </c>
      <c r="B117" s="4"/>
      <c r="C117" s="8"/>
      <c r="D117" s="35"/>
      <c r="E117" s="4"/>
      <c r="F117" s="3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x14ac:dyDescent="0.3">
      <c r="A118" s="26">
        <v>115</v>
      </c>
      <c r="B118" s="4"/>
      <c r="C118" s="8"/>
      <c r="D118" s="35"/>
      <c r="E118" s="4"/>
      <c r="F118" s="3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x14ac:dyDescent="0.3">
      <c r="A119" s="26">
        <v>116</v>
      </c>
      <c r="B119" s="4"/>
      <c r="C119" s="8"/>
      <c r="D119" s="35"/>
      <c r="E119" s="4"/>
      <c r="F119" s="3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x14ac:dyDescent="0.3">
      <c r="A120" s="26">
        <v>117</v>
      </c>
      <c r="B120" s="4"/>
      <c r="C120" s="8"/>
      <c r="D120" s="35"/>
      <c r="E120" s="4"/>
      <c r="F120" s="3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x14ac:dyDescent="0.3">
      <c r="A121" s="26">
        <v>118</v>
      </c>
      <c r="B121" s="4"/>
      <c r="C121" s="8"/>
      <c r="D121" s="35"/>
      <c r="E121" s="4"/>
      <c r="F121" s="3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x14ac:dyDescent="0.3">
      <c r="A122" s="26">
        <v>119</v>
      </c>
      <c r="B122" s="4"/>
      <c r="C122" s="8"/>
      <c r="D122" s="35"/>
      <c r="E122" s="4"/>
      <c r="F122" s="3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x14ac:dyDescent="0.3">
      <c r="A123" s="26">
        <v>120</v>
      </c>
      <c r="B123" s="4"/>
      <c r="C123" s="8"/>
      <c r="D123" s="35"/>
      <c r="E123" s="4"/>
      <c r="F123" s="3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x14ac:dyDescent="0.3">
      <c r="A124" s="26">
        <v>121</v>
      </c>
      <c r="B124" s="4"/>
      <c r="C124" s="8"/>
      <c r="D124" s="35"/>
      <c r="E124" s="4"/>
      <c r="F124" s="3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x14ac:dyDescent="0.3">
      <c r="A125" s="26">
        <v>122</v>
      </c>
      <c r="B125" s="4"/>
      <c r="C125" s="8"/>
      <c r="D125" s="35"/>
      <c r="E125" s="4"/>
      <c r="F125" s="3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x14ac:dyDescent="0.3">
      <c r="A126" s="26">
        <v>123</v>
      </c>
      <c r="B126" s="4"/>
      <c r="C126" s="8"/>
      <c r="D126" s="35"/>
      <c r="E126" s="4"/>
      <c r="F126" s="3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x14ac:dyDescent="0.3">
      <c r="A127" s="26">
        <v>124</v>
      </c>
      <c r="B127" s="4"/>
      <c r="C127" s="8"/>
      <c r="D127" s="35"/>
      <c r="E127" s="4"/>
      <c r="F127" s="3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 x14ac:dyDescent="0.3">
      <c r="A128" s="26">
        <v>125</v>
      </c>
      <c r="B128" s="4"/>
      <c r="C128" s="8"/>
      <c r="D128" s="35"/>
      <c r="E128" s="4"/>
      <c r="F128" s="3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 x14ac:dyDescent="0.3">
      <c r="A129" s="26">
        <v>126</v>
      </c>
      <c r="B129" s="4"/>
      <c r="C129" s="8"/>
      <c r="D129" s="35"/>
      <c r="E129" s="4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 x14ac:dyDescent="0.3">
      <c r="A130" s="26">
        <v>127</v>
      </c>
      <c r="B130" s="4"/>
      <c r="C130" s="8"/>
      <c r="D130" s="35"/>
      <c r="E130" s="4"/>
      <c r="F130" s="3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 x14ac:dyDescent="0.3">
      <c r="A131" s="26">
        <v>128</v>
      </c>
      <c r="B131" s="4"/>
      <c r="C131" s="8"/>
      <c r="D131" s="35"/>
      <c r="E131" s="4"/>
      <c r="F131" s="3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 x14ac:dyDescent="0.3">
      <c r="A132" s="26">
        <v>129</v>
      </c>
      <c r="B132" s="4"/>
      <c r="C132" s="8"/>
      <c r="D132" s="35"/>
      <c r="E132" s="4"/>
      <c r="F132" s="3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 x14ac:dyDescent="0.3">
      <c r="A133" s="26">
        <v>130</v>
      </c>
      <c r="B133" s="4"/>
      <c r="C133" s="8"/>
      <c r="D133" s="35"/>
      <c r="E133" s="4"/>
      <c r="F133" s="3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 x14ac:dyDescent="0.3">
      <c r="A134" s="26">
        <v>131</v>
      </c>
      <c r="B134" s="4"/>
      <c r="C134" s="8"/>
      <c r="D134" s="35"/>
      <c r="E134" s="4"/>
      <c r="F134" s="3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 x14ac:dyDescent="0.3">
      <c r="A135" s="26">
        <v>132</v>
      </c>
      <c r="B135" s="4"/>
      <c r="C135" s="8"/>
      <c r="D135" s="35"/>
      <c r="E135" s="4"/>
      <c r="F135" s="3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 x14ac:dyDescent="0.3">
      <c r="A136" s="26">
        <v>133</v>
      </c>
      <c r="B136" s="4"/>
      <c r="C136" s="8"/>
      <c r="D136" s="35"/>
      <c r="E136" s="4"/>
      <c r="F136" s="3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 x14ac:dyDescent="0.3">
      <c r="A137" s="26">
        <v>134</v>
      </c>
      <c r="B137" s="4"/>
      <c r="C137" s="8"/>
      <c r="D137" s="35"/>
      <c r="E137" s="4"/>
      <c r="F137" s="3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x14ac:dyDescent="0.3">
      <c r="A138" s="26">
        <v>135</v>
      </c>
      <c r="B138" s="4"/>
      <c r="C138" s="8"/>
      <c r="D138" s="35"/>
      <c r="E138" s="4"/>
      <c r="F138" s="3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 x14ac:dyDescent="0.3">
      <c r="A139" s="26">
        <v>136</v>
      </c>
      <c r="B139" s="4"/>
      <c r="C139" s="8"/>
      <c r="D139" s="35"/>
      <c r="E139" s="4"/>
      <c r="F139" s="3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 x14ac:dyDescent="0.3">
      <c r="A140" s="26">
        <v>137</v>
      </c>
      <c r="B140" s="4"/>
      <c r="C140" s="8"/>
      <c r="D140" s="35"/>
      <c r="E140" s="4"/>
      <c r="F140" s="3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 x14ac:dyDescent="0.3">
      <c r="A141" s="26">
        <v>138</v>
      </c>
      <c r="B141" s="4"/>
      <c r="C141" s="8"/>
      <c r="D141" s="35"/>
      <c r="E141" s="4"/>
      <c r="F141" s="3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 x14ac:dyDescent="0.3">
      <c r="A142" s="26">
        <v>139</v>
      </c>
      <c r="B142" s="4"/>
      <c r="C142" s="8"/>
      <c r="D142" s="35"/>
      <c r="E142" s="4"/>
      <c r="F142" s="3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 x14ac:dyDescent="0.3">
      <c r="A143" s="26">
        <v>140</v>
      </c>
      <c r="B143" s="4"/>
      <c r="C143" s="8"/>
      <c r="D143" s="35"/>
      <c r="E143" s="4"/>
      <c r="F143" s="3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 x14ac:dyDescent="0.3">
      <c r="A144" s="26">
        <v>141</v>
      </c>
      <c r="B144" s="4"/>
      <c r="C144" s="8"/>
      <c r="D144" s="35"/>
      <c r="E144" s="4"/>
      <c r="F144" s="3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 x14ac:dyDescent="0.3">
      <c r="A145" s="26">
        <v>142</v>
      </c>
      <c r="B145" s="4"/>
      <c r="C145" s="8"/>
      <c r="D145" s="35"/>
      <c r="E145" s="4"/>
      <c r="F145" s="3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 x14ac:dyDescent="0.3">
      <c r="A146" s="26">
        <v>143</v>
      </c>
      <c r="B146" s="4"/>
      <c r="C146" s="8"/>
      <c r="D146" s="35"/>
      <c r="E146" s="4"/>
      <c r="F146" s="3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 x14ac:dyDescent="0.3">
      <c r="A147" s="26">
        <v>144</v>
      </c>
      <c r="B147" s="4"/>
      <c r="C147" s="8"/>
      <c r="D147" s="35"/>
      <c r="E147" s="4"/>
      <c r="F147" s="3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 x14ac:dyDescent="0.3">
      <c r="A148" s="26">
        <v>145</v>
      </c>
      <c r="B148" s="4"/>
      <c r="C148" s="8"/>
      <c r="D148" s="35"/>
      <c r="E148" s="4"/>
      <c r="F148" s="3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 x14ac:dyDescent="0.3">
      <c r="A149" s="26">
        <v>146</v>
      </c>
      <c r="B149" s="4"/>
      <c r="C149" s="8"/>
      <c r="D149" s="35"/>
      <c r="E149" s="4"/>
      <c r="F149" s="3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 x14ac:dyDescent="0.3">
      <c r="A150" s="26">
        <v>147</v>
      </c>
      <c r="B150" s="4"/>
      <c r="C150" s="8"/>
      <c r="D150" s="35"/>
      <c r="E150" s="4"/>
      <c r="F150" s="3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 x14ac:dyDescent="0.3">
      <c r="A151" s="26">
        <v>148</v>
      </c>
      <c r="B151" s="4"/>
      <c r="C151" s="8"/>
      <c r="D151" s="27"/>
      <c r="E151" s="32"/>
      <c r="F151" s="27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x14ac:dyDescent="0.3">
      <c r="A152" s="26">
        <v>149</v>
      </c>
      <c r="B152" s="4"/>
      <c r="C152" s="8"/>
      <c r="D152" s="27"/>
      <c r="E152" s="32"/>
      <c r="F152" s="27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x14ac:dyDescent="0.3">
      <c r="A153" s="26">
        <v>150</v>
      </c>
      <c r="B153" s="4"/>
      <c r="C153" s="8"/>
      <c r="D153" s="27"/>
      <c r="E153" s="32"/>
      <c r="F153" s="27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x14ac:dyDescent="0.3">
      <c r="A154" s="26">
        <v>151</v>
      </c>
      <c r="B154" s="4"/>
      <c r="C154" s="8"/>
      <c r="D154" s="27"/>
      <c r="E154" s="32"/>
      <c r="F154" s="27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x14ac:dyDescent="0.3">
      <c r="A155" s="26">
        <v>152</v>
      </c>
      <c r="B155" s="4"/>
      <c r="C155" s="8"/>
      <c r="D155" s="27"/>
      <c r="E155" s="32"/>
      <c r="F155" s="27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x14ac:dyDescent="0.3">
      <c r="A156" s="26">
        <v>153</v>
      </c>
      <c r="B156" s="4"/>
      <c r="C156" s="8"/>
      <c r="D156" s="27"/>
      <c r="E156" s="32"/>
      <c r="F156" s="27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x14ac:dyDescent="0.3">
      <c r="A157" s="26">
        <v>154</v>
      </c>
      <c r="B157" s="4"/>
      <c r="C157" s="8"/>
      <c r="D157" s="27"/>
      <c r="E157" s="32"/>
      <c r="F157" s="27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x14ac:dyDescent="0.3">
      <c r="A158" s="26">
        <v>155</v>
      </c>
      <c r="B158" s="4"/>
      <c r="C158" s="8"/>
      <c r="D158" s="27"/>
      <c r="E158" s="32"/>
      <c r="F158" s="27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x14ac:dyDescent="0.3">
      <c r="A159" s="26">
        <v>156</v>
      </c>
      <c r="B159" s="4"/>
      <c r="C159" s="8"/>
      <c r="D159" s="27"/>
      <c r="E159" s="32"/>
      <c r="F159" s="27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x14ac:dyDescent="0.3">
      <c r="A160" s="26">
        <v>157</v>
      </c>
      <c r="B160" s="4"/>
      <c r="C160" s="8"/>
      <c r="D160" s="27"/>
      <c r="E160" s="32"/>
      <c r="F160" s="27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x14ac:dyDescent="0.3">
      <c r="A161" s="26">
        <v>158</v>
      </c>
      <c r="B161" s="4"/>
      <c r="C161" s="8"/>
      <c r="D161" s="27"/>
      <c r="E161" s="32"/>
      <c r="F161" s="27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x14ac:dyDescent="0.3">
      <c r="A162" s="26">
        <v>159</v>
      </c>
      <c r="B162" s="4"/>
      <c r="C162" s="8"/>
      <c r="D162" s="27"/>
      <c r="E162" s="32"/>
      <c r="F162" s="27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x14ac:dyDescent="0.3">
      <c r="A163" s="26">
        <v>160</v>
      </c>
      <c r="B163" s="4"/>
      <c r="C163" s="8"/>
      <c r="D163" s="27"/>
      <c r="E163" s="32"/>
      <c r="F163" s="27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x14ac:dyDescent="0.3">
      <c r="A164" s="26">
        <v>161</v>
      </c>
      <c r="B164" s="4"/>
      <c r="C164" s="8"/>
      <c r="D164" s="27"/>
      <c r="E164" s="32"/>
      <c r="F164" s="27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x14ac:dyDescent="0.3">
      <c r="A165" s="26">
        <v>162</v>
      </c>
      <c r="B165" s="4"/>
      <c r="C165" s="8"/>
      <c r="D165" s="27"/>
      <c r="E165" s="32"/>
      <c r="F165" s="27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x14ac:dyDescent="0.3">
      <c r="A166" s="26">
        <v>163</v>
      </c>
      <c r="B166" s="4"/>
      <c r="C166" s="8"/>
      <c r="D166" s="27"/>
      <c r="E166" s="32"/>
      <c r="F166" s="27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x14ac:dyDescent="0.3">
      <c r="A167" s="26">
        <v>164</v>
      </c>
      <c r="B167" s="4"/>
      <c r="C167" s="8"/>
      <c r="D167" s="27"/>
      <c r="E167" s="32"/>
      <c r="F167" s="27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x14ac:dyDescent="0.3">
      <c r="A168" s="26">
        <v>165</v>
      </c>
      <c r="B168" s="4"/>
      <c r="C168" s="8"/>
      <c r="D168" s="27"/>
      <c r="E168" s="32"/>
      <c r="F168" s="27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x14ac:dyDescent="0.3">
      <c r="A169" s="26">
        <v>166</v>
      </c>
      <c r="B169" s="4"/>
      <c r="C169" s="8"/>
      <c r="D169" s="27"/>
      <c r="E169" s="32"/>
      <c r="F169" s="27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x14ac:dyDescent="0.3">
      <c r="A170" s="26">
        <v>167</v>
      </c>
      <c r="B170" s="4"/>
      <c r="C170" s="8"/>
      <c r="D170" s="27"/>
      <c r="E170" s="32"/>
      <c r="F170" s="27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x14ac:dyDescent="0.3">
      <c r="A171" s="26">
        <v>168</v>
      </c>
      <c r="B171" s="4"/>
      <c r="C171" s="8"/>
      <c r="D171" s="27"/>
      <c r="E171" s="32"/>
      <c r="F171" s="27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x14ac:dyDescent="0.3">
      <c r="A172" s="26">
        <v>169</v>
      </c>
      <c r="B172" s="4"/>
      <c r="C172" s="8"/>
      <c r="D172" s="27"/>
      <c r="E172" s="32"/>
      <c r="F172" s="27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x14ac:dyDescent="0.3">
      <c r="A173" s="26">
        <v>170</v>
      </c>
      <c r="B173" s="4"/>
      <c r="C173" s="8"/>
      <c r="D173" s="27"/>
      <c r="E173" s="32"/>
      <c r="F173" s="27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x14ac:dyDescent="0.3">
      <c r="A174" s="26">
        <v>171</v>
      </c>
      <c r="B174" s="4"/>
      <c r="C174" s="8"/>
      <c r="D174" s="27"/>
      <c r="E174" s="32"/>
      <c r="F174" s="27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x14ac:dyDescent="0.3">
      <c r="A175" s="26">
        <v>172</v>
      </c>
      <c r="B175" s="4"/>
      <c r="C175" s="8"/>
      <c r="D175" s="27"/>
      <c r="E175" s="32"/>
      <c r="F175" s="27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x14ac:dyDescent="0.3">
      <c r="A176" s="26">
        <v>173</v>
      </c>
      <c r="B176" s="4"/>
      <c r="C176" s="8"/>
      <c r="D176" s="27"/>
      <c r="E176" s="32"/>
      <c r="F176" s="27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x14ac:dyDescent="0.3">
      <c r="A177" s="26">
        <v>174</v>
      </c>
      <c r="B177" s="4"/>
      <c r="C177" s="8"/>
      <c r="D177" s="27"/>
      <c r="E177" s="32"/>
      <c r="F177" s="27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x14ac:dyDescent="0.3">
      <c r="A178" s="26">
        <v>175</v>
      </c>
      <c r="B178" s="4"/>
      <c r="C178" s="8"/>
      <c r="D178" s="27"/>
      <c r="E178" s="32"/>
      <c r="F178" s="27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x14ac:dyDescent="0.3">
      <c r="A179" s="26">
        <v>176</v>
      </c>
      <c r="B179" s="4"/>
      <c r="C179" s="8"/>
      <c r="D179" s="27"/>
      <c r="E179" s="32"/>
      <c r="F179" s="27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x14ac:dyDescent="0.3">
      <c r="A180" s="26">
        <v>177</v>
      </c>
      <c r="B180" s="4"/>
      <c r="C180" s="8"/>
      <c r="D180" s="27"/>
      <c r="E180" s="32"/>
      <c r="F180" s="27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x14ac:dyDescent="0.3">
      <c r="A181" s="26">
        <v>178</v>
      </c>
      <c r="B181" s="4"/>
      <c r="C181" s="8"/>
      <c r="D181" s="27"/>
      <c r="E181" s="32"/>
      <c r="F181" s="27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x14ac:dyDescent="0.3">
      <c r="A182" s="26">
        <v>179</v>
      </c>
      <c r="B182" s="4"/>
      <c r="C182" s="8"/>
      <c r="D182" s="27"/>
      <c r="E182" s="32"/>
      <c r="F182" s="27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x14ac:dyDescent="0.3">
      <c r="A183" s="26">
        <v>180</v>
      </c>
      <c r="B183" s="4"/>
      <c r="C183" s="8"/>
      <c r="D183" s="27"/>
      <c r="E183" s="32"/>
      <c r="F183" s="27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x14ac:dyDescent="0.3">
      <c r="A184" s="26">
        <v>181</v>
      </c>
      <c r="B184" s="4"/>
      <c r="C184" s="8"/>
      <c r="D184" s="27"/>
      <c r="E184" s="32"/>
      <c r="F184" s="27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x14ac:dyDescent="0.3">
      <c r="A185" s="26">
        <v>182</v>
      </c>
      <c r="B185" s="4"/>
      <c r="C185" s="8"/>
      <c r="D185" s="27"/>
      <c r="E185" s="32"/>
      <c r="F185" s="27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x14ac:dyDescent="0.3">
      <c r="A186" s="26">
        <v>183</v>
      </c>
      <c r="B186" s="4"/>
      <c r="C186" s="8"/>
      <c r="D186" s="27"/>
      <c r="E186" s="32"/>
      <c r="F186" s="27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x14ac:dyDescent="0.3">
      <c r="A187" s="26">
        <v>184</v>
      </c>
      <c r="B187" s="4"/>
      <c r="C187" s="8"/>
      <c r="D187" s="27"/>
      <c r="E187" s="32"/>
      <c r="F187" s="27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x14ac:dyDescent="0.3">
      <c r="A188" s="26">
        <v>185</v>
      </c>
      <c r="B188" s="4"/>
      <c r="C188" s="8"/>
      <c r="D188" s="27"/>
      <c r="E188" s="32"/>
      <c r="F188" s="27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x14ac:dyDescent="0.3">
      <c r="A189" s="26">
        <v>186</v>
      </c>
      <c r="B189" s="4"/>
      <c r="C189" s="8"/>
      <c r="D189" s="27"/>
      <c r="E189" s="32"/>
      <c r="F189" s="27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x14ac:dyDescent="0.3">
      <c r="A190" s="26">
        <v>187</v>
      </c>
      <c r="B190" s="4"/>
      <c r="C190" s="8"/>
      <c r="D190" s="27"/>
      <c r="E190" s="32"/>
      <c r="F190" s="27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x14ac:dyDescent="0.3">
      <c r="A191" s="26">
        <v>188</v>
      </c>
      <c r="B191" s="4"/>
      <c r="C191" s="8"/>
      <c r="D191" s="27"/>
      <c r="E191" s="32"/>
      <c r="F191" s="27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x14ac:dyDescent="0.3">
      <c r="A192" s="26">
        <v>189</v>
      </c>
      <c r="B192" s="4"/>
      <c r="C192" s="8"/>
      <c r="D192" s="27"/>
      <c r="E192" s="32"/>
      <c r="F192" s="27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x14ac:dyDescent="0.3">
      <c r="A193" s="26">
        <v>190</v>
      </c>
      <c r="B193" s="4"/>
      <c r="C193" s="8"/>
      <c r="D193" s="27"/>
      <c r="E193" s="32"/>
      <c r="F193" s="27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x14ac:dyDescent="0.3">
      <c r="A194" s="26">
        <v>191</v>
      </c>
      <c r="B194" s="4"/>
      <c r="C194" s="8"/>
      <c r="D194" s="27"/>
      <c r="E194" s="32"/>
      <c r="F194" s="27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x14ac:dyDescent="0.3">
      <c r="A195" s="26">
        <v>192</v>
      </c>
      <c r="B195" s="4"/>
      <c r="C195" s="8"/>
      <c r="D195" s="27"/>
      <c r="E195" s="32"/>
      <c r="F195" s="27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x14ac:dyDescent="0.3">
      <c r="A196" s="26">
        <v>193</v>
      </c>
      <c r="B196" s="4"/>
      <c r="C196" s="8"/>
      <c r="D196" s="27"/>
      <c r="E196" s="32"/>
      <c r="F196" s="27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x14ac:dyDescent="0.3">
      <c r="A197" s="26">
        <v>194</v>
      </c>
      <c r="B197" s="4"/>
      <c r="C197" s="8"/>
      <c r="D197" s="27"/>
      <c r="E197" s="32"/>
      <c r="F197" s="27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x14ac:dyDescent="0.3">
      <c r="A198" s="26">
        <v>195</v>
      </c>
      <c r="B198" s="4"/>
      <c r="C198" s="8"/>
      <c r="D198" s="27"/>
      <c r="E198" s="32"/>
      <c r="F198" s="27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x14ac:dyDescent="0.3">
      <c r="A199" s="26">
        <v>196</v>
      </c>
      <c r="B199" s="4"/>
      <c r="C199" s="8"/>
      <c r="D199" s="27"/>
      <c r="E199" s="32"/>
      <c r="F199" s="27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x14ac:dyDescent="0.3">
      <c r="A200" s="26">
        <v>197</v>
      </c>
      <c r="B200" s="4"/>
      <c r="C200" s="8"/>
      <c r="D200" s="27"/>
      <c r="E200" s="32"/>
      <c r="F200" s="27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x14ac:dyDescent="0.3">
      <c r="A201" s="26">
        <v>198</v>
      </c>
      <c r="B201" s="4"/>
      <c r="C201" s="8"/>
      <c r="D201" s="27"/>
      <c r="E201" s="32"/>
      <c r="F201" s="27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x14ac:dyDescent="0.3">
      <c r="A202" s="26">
        <v>199</v>
      </c>
      <c r="B202" s="4"/>
      <c r="C202" s="8"/>
      <c r="D202" s="27"/>
      <c r="E202" s="32"/>
      <c r="F202" s="27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x14ac:dyDescent="0.3">
      <c r="A203" s="26">
        <v>200</v>
      </c>
      <c r="B203" s="4"/>
      <c r="C203" s="8"/>
      <c r="D203" s="27"/>
      <c r="E203" s="32"/>
      <c r="F203" s="27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x14ac:dyDescent="0.3">
      <c r="A204" s="26">
        <v>201</v>
      </c>
      <c r="B204" s="4"/>
      <c r="C204" s="8"/>
      <c r="D204" s="27"/>
      <c r="E204" s="32"/>
      <c r="F204" s="27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x14ac:dyDescent="0.3">
      <c r="A205" s="26">
        <v>202</v>
      </c>
      <c r="B205" s="4"/>
      <c r="C205" s="8"/>
      <c r="D205" s="27"/>
      <c r="E205" s="32"/>
      <c r="F205" s="27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x14ac:dyDescent="0.3">
      <c r="A206" s="26">
        <v>203</v>
      </c>
      <c r="B206" s="4"/>
      <c r="C206" s="8"/>
      <c r="D206" s="27"/>
      <c r="E206" s="32"/>
      <c r="F206" s="27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x14ac:dyDescent="0.3">
      <c r="A207" s="26">
        <v>204</v>
      </c>
      <c r="B207" s="4"/>
      <c r="C207" s="8"/>
      <c r="D207" s="27"/>
      <c r="E207" s="32"/>
      <c r="F207" s="27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x14ac:dyDescent="0.3">
      <c r="A208" s="26">
        <v>205</v>
      </c>
      <c r="B208" s="4"/>
      <c r="C208" s="8"/>
      <c r="D208" s="27"/>
      <c r="E208" s="32"/>
      <c r="F208" s="27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x14ac:dyDescent="0.3">
      <c r="A209" s="26">
        <v>206</v>
      </c>
      <c r="B209" s="4"/>
      <c r="C209" s="8"/>
      <c r="D209" s="27"/>
      <c r="E209" s="32"/>
      <c r="F209" s="27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x14ac:dyDescent="0.3">
      <c r="A210" s="26">
        <v>207</v>
      </c>
      <c r="B210" s="4"/>
      <c r="C210" s="8"/>
      <c r="D210" s="27"/>
      <c r="E210" s="32"/>
      <c r="F210" s="27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x14ac:dyDescent="0.3">
      <c r="A211" s="26">
        <v>208</v>
      </c>
      <c r="B211" s="4"/>
      <c r="C211" s="8"/>
      <c r="D211" s="27"/>
      <c r="E211" s="32"/>
      <c r="F211" s="27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x14ac:dyDescent="0.3">
      <c r="A212" s="26">
        <v>209</v>
      </c>
      <c r="B212" s="4"/>
      <c r="C212" s="8"/>
      <c r="D212" s="27"/>
      <c r="E212" s="32"/>
      <c r="F212" s="27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x14ac:dyDescent="0.3">
      <c r="A213" s="26">
        <v>210</v>
      </c>
      <c r="B213" s="4"/>
      <c r="C213" s="8"/>
      <c r="D213" s="27"/>
      <c r="E213" s="32"/>
      <c r="F213" s="27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x14ac:dyDescent="0.3">
      <c r="A214" s="26">
        <v>211</v>
      </c>
      <c r="B214" s="4"/>
      <c r="C214" s="8"/>
      <c r="D214" s="27"/>
      <c r="E214" s="32"/>
      <c r="F214" s="27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x14ac:dyDescent="0.3">
      <c r="A215" s="26">
        <v>212</v>
      </c>
      <c r="B215" s="4"/>
      <c r="C215" s="8"/>
      <c r="D215" s="27"/>
      <c r="E215" s="32"/>
      <c r="F215" s="27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x14ac:dyDescent="0.3">
      <c r="A216" s="26">
        <v>213</v>
      </c>
      <c r="B216" s="4"/>
      <c r="C216" s="8"/>
      <c r="D216" s="27"/>
      <c r="E216" s="32"/>
      <c r="F216" s="27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x14ac:dyDescent="0.3">
      <c r="A217" s="26">
        <v>214</v>
      </c>
      <c r="B217" s="4"/>
      <c r="C217" s="8"/>
      <c r="D217" s="27"/>
      <c r="E217" s="32"/>
      <c r="F217" s="27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x14ac:dyDescent="0.3">
      <c r="A218" s="26">
        <v>215</v>
      </c>
      <c r="B218" s="4"/>
      <c r="C218" s="8"/>
      <c r="D218" s="27"/>
      <c r="E218" s="32"/>
      <c r="F218" s="27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x14ac:dyDescent="0.3">
      <c r="A219" s="26">
        <v>216</v>
      </c>
      <c r="B219" s="4"/>
      <c r="C219" s="8"/>
      <c r="D219" s="27"/>
      <c r="E219" s="32"/>
      <c r="F219" s="27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x14ac:dyDescent="0.3">
      <c r="A220" s="26">
        <v>217</v>
      </c>
      <c r="B220" s="4"/>
      <c r="C220" s="8"/>
      <c r="D220" s="27"/>
      <c r="E220" s="32"/>
      <c r="F220" s="27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x14ac:dyDescent="0.3">
      <c r="A221" s="26">
        <v>218</v>
      </c>
      <c r="B221" s="4"/>
      <c r="C221" s="8"/>
      <c r="D221" s="27"/>
      <c r="E221" s="32"/>
      <c r="F221" s="27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x14ac:dyDescent="0.3">
      <c r="A222" s="26">
        <v>219</v>
      </c>
      <c r="B222" s="4"/>
      <c r="C222" s="8"/>
      <c r="D222" s="27"/>
      <c r="E222" s="32"/>
      <c r="F222" s="27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x14ac:dyDescent="0.3">
      <c r="A223" s="26">
        <v>220</v>
      </c>
      <c r="B223" s="4"/>
      <c r="C223" s="8"/>
      <c r="D223" s="27"/>
      <c r="E223" s="32"/>
      <c r="F223" s="27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x14ac:dyDescent="0.3">
      <c r="A224" s="26">
        <v>221</v>
      </c>
      <c r="B224" s="4"/>
      <c r="C224" s="8"/>
      <c r="D224" s="27"/>
      <c r="E224" s="32"/>
      <c r="F224" s="27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x14ac:dyDescent="0.3">
      <c r="A225" s="26">
        <v>222</v>
      </c>
      <c r="B225" s="4"/>
      <c r="C225" s="8"/>
      <c r="D225" s="27"/>
      <c r="E225" s="32"/>
      <c r="F225" s="27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x14ac:dyDescent="0.3">
      <c r="A226" s="26">
        <v>223</v>
      </c>
      <c r="B226" s="4"/>
      <c r="C226" s="8"/>
      <c r="D226" s="27"/>
      <c r="E226" s="32"/>
      <c r="F226" s="27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x14ac:dyDescent="0.3">
      <c r="A227" s="26">
        <v>224</v>
      </c>
      <c r="B227" s="4"/>
      <c r="C227" s="8"/>
      <c r="D227" s="27"/>
      <c r="E227" s="32"/>
      <c r="F227" s="27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x14ac:dyDescent="0.3">
      <c r="A228" s="26">
        <v>225</v>
      </c>
      <c r="B228" s="4"/>
      <c r="C228" s="8"/>
      <c r="D228" s="37"/>
      <c r="E228" s="4"/>
      <c r="F228" s="27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x14ac:dyDescent="0.3">
      <c r="A229" s="26">
        <v>226</v>
      </c>
      <c r="B229" s="4"/>
      <c r="C229" s="8"/>
      <c r="D229" s="37"/>
      <c r="E229" s="4"/>
      <c r="F229" s="27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x14ac:dyDescent="0.3">
      <c r="A230" s="26">
        <v>227</v>
      </c>
      <c r="B230" s="4"/>
      <c r="C230" s="8"/>
      <c r="D230" s="37"/>
      <c r="E230" s="4"/>
      <c r="F230" s="27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x14ac:dyDescent="0.3">
      <c r="A231" s="26">
        <v>228</v>
      </c>
      <c r="B231" s="4"/>
      <c r="C231" s="8"/>
      <c r="D231" s="37"/>
      <c r="E231" s="4"/>
      <c r="F231" s="27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x14ac:dyDescent="0.3">
      <c r="A232" s="26">
        <v>229</v>
      </c>
      <c r="B232" s="4"/>
      <c r="C232" s="8"/>
      <c r="D232" s="37"/>
      <c r="E232" s="4"/>
      <c r="F232" s="27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x14ac:dyDescent="0.3">
      <c r="A233" s="26">
        <v>230</v>
      </c>
      <c r="B233" s="4"/>
      <c r="C233" s="8"/>
      <c r="D233" s="37"/>
      <c r="E233" s="4"/>
      <c r="F233" s="27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x14ac:dyDescent="0.3">
      <c r="A234" s="26">
        <v>231</v>
      </c>
      <c r="B234" s="4"/>
      <c r="C234" s="8"/>
      <c r="D234" s="37"/>
      <c r="E234" s="4"/>
      <c r="F234" s="27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x14ac:dyDescent="0.3">
      <c r="A235" s="26">
        <v>232</v>
      </c>
      <c r="B235" s="4"/>
      <c r="C235" s="8"/>
      <c r="D235" s="37"/>
      <c r="E235" s="4"/>
      <c r="F235" s="27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x14ac:dyDescent="0.3">
      <c r="A236" s="26">
        <v>233</v>
      </c>
      <c r="B236" s="4"/>
      <c r="C236" s="8"/>
      <c r="D236" s="37"/>
      <c r="E236" s="4"/>
      <c r="F236" s="27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x14ac:dyDescent="0.3">
      <c r="A237" s="26">
        <v>234</v>
      </c>
      <c r="B237" s="4"/>
      <c r="C237" s="8"/>
      <c r="D237" s="37"/>
      <c r="E237" s="4"/>
      <c r="F237" s="27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x14ac:dyDescent="0.3">
      <c r="A238" s="26">
        <v>235</v>
      </c>
      <c r="B238" s="4"/>
      <c r="C238" s="8"/>
      <c r="D238" s="37"/>
      <c r="E238" s="4"/>
      <c r="F238" s="27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x14ac:dyDescent="0.3">
      <c r="A239" s="26">
        <v>236</v>
      </c>
      <c r="B239" s="4"/>
      <c r="C239" s="8"/>
      <c r="D239" s="37"/>
      <c r="E239" s="4"/>
      <c r="F239" s="27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x14ac:dyDescent="0.3">
      <c r="A240" s="26">
        <v>237</v>
      </c>
      <c r="B240" s="4"/>
      <c r="C240" s="8"/>
      <c r="D240" s="37"/>
      <c r="E240" s="4"/>
      <c r="F240" s="27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x14ac:dyDescent="0.3">
      <c r="A241" s="26">
        <v>238</v>
      </c>
      <c r="B241" s="4"/>
      <c r="C241" s="8"/>
      <c r="D241" s="37"/>
      <c r="E241" s="4"/>
      <c r="F241" s="27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x14ac:dyDescent="0.3">
      <c r="A242" s="26">
        <v>239</v>
      </c>
      <c r="B242" s="4"/>
      <c r="C242" s="8"/>
      <c r="D242" s="37"/>
      <c r="E242" s="4"/>
      <c r="F242" s="27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x14ac:dyDescent="0.3">
      <c r="A243" s="26">
        <v>240</v>
      </c>
      <c r="B243" s="4"/>
      <c r="C243" s="8"/>
      <c r="D243" s="37"/>
      <c r="E243" s="4"/>
      <c r="F243" s="27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x14ac:dyDescent="0.3">
      <c r="A244" s="26">
        <v>241</v>
      </c>
      <c r="B244" s="4"/>
      <c r="C244" s="8"/>
      <c r="D244" s="37"/>
      <c r="E244" s="4"/>
      <c r="F244" s="27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x14ac:dyDescent="0.3">
      <c r="A245" s="26">
        <v>242</v>
      </c>
      <c r="B245" s="4"/>
      <c r="C245" s="8"/>
      <c r="D245" s="37"/>
      <c r="E245" s="4"/>
      <c r="F245" s="27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x14ac:dyDescent="0.3">
      <c r="A246" s="26">
        <v>243</v>
      </c>
      <c r="B246" s="4"/>
      <c r="C246" s="8"/>
      <c r="D246" s="37"/>
      <c r="E246" s="4"/>
      <c r="F246" s="27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x14ac:dyDescent="0.3">
      <c r="A247" s="26">
        <v>244</v>
      </c>
      <c r="B247" s="4"/>
      <c r="C247" s="8"/>
      <c r="D247" s="37"/>
      <c r="E247" s="4"/>
      <c r="F247" s="27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x14ac:dyDescent="0.3">
      <c r="A248" s="26">
        <v>245</v>
      </c>
      <c r="B248" s="4"/>
      <c r="C248" s="8"/>
      <c r="D248" s="37"/>
      <c r="E248" s="4"/>
      <c r="F248" s="27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x14ac:dyDescent="0.3">
      <c r="A249" s="26">
        <v>246</v>
      </c>
      <c r="B249" s="4"/>
      <c r="C249" s="8"/>
      <c r="D249" s="37"/>
      <c r="E249" s="4"/>
      <c r="F249" s="27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x14ac:dyDescent="0.3">
      <c r="A250" s="26">
        <v>247</v>
      </c>
      <c r="B250" s="4"/>
      <c r="C250" s="8"/>
      <c r="D250" s="37"/>
      <c r="E250" s="4"/>
      <c r="F250" s="27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x14ac:dyDescent="0.3">
      <c r="A251" s="26">
        <v>248</v>
      </c>
      <c r="B251" s="4"/>
      <c r="C251" s="8"/>
      <c r="D251" s="37"/>
      <c r="E251" s="4"/>
      <c r="F251" s="27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x14ac:dyDescent="0.3">
      <c r="A252" s="26">
        <v>249</v>
      </c>
      <c r="B252" s="4"/>
      <c r="C252" s="8"/>
      <c r="D252" s="37"/>
      <c r="E252" s="4"/>
      <c r="F252" s="27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x14ac:dyDescent="0.3">
      <c r="A253" s="26">
        <v>250</v>
      </c>
      <c r="B253" s="4"/>
      <c r="C253" s="8"/>
      <c r="D253" s="37"/>
      <c r="E253" s="4"/>
      <c r="F253" s="27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x14ac:dyDescent="0.3">
      <c r="A254" s="26">
        <v>251</v>
      </c>
      <c r="B254" s="4"/>
      <c r="C254" s="8"/>
      <c r="D254" s="37"/>
      <c r="E254" s="4"/>
      <c r="F254" s="27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x14ac:dyDescent="0.3">
      <c r="A255" s="26">
        <v>252</v>
      </c>
      <c r="B255" s="4"/>
      <c r="C255" s="8"/>
      <c r="D255" s="37"/>
      <c r="E255" s="4"/>
      <c r="F255" s="27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x14ac:dyDescent="0.3">
      <c r="A256" s="26">
        <v>253</v>
      </c>
      <c r="B256" s="4"/>
      <c r="C256" s="8"/>
      <c r="D256" s="37"/>
      <c r="E256" s="4"/>
      <c r="F256" s="27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x14ac:dyDescent="0.3">
      <c r="A257" s="26">
        <v>254</v>
      </c>
      <c r="B257" s="4"/>
      <c r="C257" s="8"/>
      <c r="D257" s="37"/>
      <c r="E257" s="4"/>
      <c r="F257" s="27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x14ac:dyDescent="0.3">
      <c r="A258" s="26">
        <v>255</v>
      </c>
      <c r="B258" s="4"/>
      <c r="C258" s="8"/>
      <c r="D258" s="37"/>
      <c r="E258" s="4"/>
      <c r="F258" s="27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x14ac:dyDescent="0.3">
      <c r="A259" s="26">
        <v>256</v>
      </c>
      <c r="B259" s="4"/>
      <c r="C259" s="8"/>
      <c r="D259" s="37"/>
      <c r="E259" s="4"/>
      <c r="F259" s="27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x14ac:dyDescent="0.3">
      <c r="A260" s="26">
        <v>257</v>
      </c>
      <c r="B260" s="4"/>
      <c r="C260" s="8"/>
      <c r="D260" s="37"/>
      <c r="E260" s="4"/>
      <c r="F260" s="3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 x14ac:dyDescent="0.3">
      <c r="A261" s="26">
        <v>258</v>
      </c>
      <c r="B261" s="4"/>
      <c r="C261" s="8"/>
      <c r="D261" s="37"/>
      <c r="E261" s="4"/>
      <c r="F261" s="3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 x14ac:dyDescent="0.3">
      <c r="A262" s="26">
        <v>259</v>
      </c>
      <c r="B262" s="4"/>
      <c r="C262" s="8"/>
      <c r="D262" s="37"/>
      <c r="E262" s="4"/>
      <c r="F262" s="3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 x14ac:dyDescent="0.3">
      <c r="A263" s="26">
        <v>260</v>
      </c>
      <c r="B263" s="4"/>
      <c r="C263" s="8"/>
      <c r="D263" s="37"/>
      <c r="E263" s="4"/>
      <c r="F263" s="3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 x14ac:dyDescent="0.3">
      <c r="A264" s="26">
        <v>261</v>
      </c>
      <c r="B264" s="4"/>
      <c r="C264" s="8"/>
      <c r="D264" s="37"/>
      <c r="E264" s="4"/>
      <c r="F264" s="3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 x14ac:dyDescent="0.3">
      <c r="A265" s="26">
        <v>262</v>
      </c>
      <c r="B265" s="4"/>
      <c r="C265" s="8"/>
      <c r="D265" s="37"/>
      <c r="E265" s="4"/>
      <c r="F265" s="3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 x14ac:dyDescent="0.3">
      <c r="A266" s="26">
        <v>263</v>
      </c>
      <c r="B266" s="4"/>
      <c r="C266" s="8"/>
      <c r="D266" s="37"/>
      <c r="E266" s="4"/>
      <c r="F266" s="3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 x14ac:dyDescent="0.3">
      <c r="A267" s="26">
        <v>264</v>
      </c>
      <c r="B267" s="4"/>
      <c r="C267" s="8"/>
      <c r="D267" s="37"/>
      <c r="E267" s="4"/>
      <c r="F267" s="3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 x14ac:dyDescent="0.3">
      <c r="A268" s="26">
        <v>265</v>
      </c>
      <c r="B268" s="4"/>
      <c r="C268" s="8"/>
      <c r="D268" s="37"/>
      <c r="E268" s="4"/>
      <c r="F268" s="3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 x14ac:dyDescent="0.3">
      <c r="A269" s="26">
        <v>266</v>
      </c>
      <c r="B269" s="4"/>
      <c r="C269" s="8"/>
      <c r="D269" s="37"/>
      <c r="E269" s="4"/>
      <c r="F269" s="3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 x14ac:dyDescent="0.3">
      <c r="A270" s="26">
        <v>267</v>
      </c>
      <c r="B270" s="4"/>
      <c r="C270" s="8"/>
      <c r="D270" s="37"/>
      <c r="E270" s="4"/>
      <c r="F270" s="3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x14ac:dyDescent="0.3">
      <c r="A271" s="26">
        <v>268</v>
      </c>
      <c r="B271" s="4"/>
      <c r="C271" s="8"/>
      <c r="D271" s="37"/>
      <c r="E271" s="4"/>
      <c r="F271" s="3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 x14ac:dyDescent="0.3">
      <c r="A272" s="26">
        <v>269</v>
      </c>
      <c r="B272" s="4"/>
      <c r="C272" s="8"/>
      <c r="D272" s="37"/>
      <c r="E272" s="4"/>
      <c r="F272" s="3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 x14ac:dyDescent="0.3">
      <c r="A273" s="26">
        <v>270</v>
      </c>
      <c r="B273" s="4"/>
      <c r="C273" s="8"/>
      <c r="D273" s="37"/>
      <c r="E273" s="4"/>
      <c r="F273" s="3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 x14ac:dyDescent="0.3">
      <c r="A274" s="26">
        <v>271</v>
      </c>
      <c r="B274" s="4"/>
      <c r="C274" s="8"/>
      <c r="D274" s="37"/>
      <c r="E274" s="4"/>
      <c r="F274" s="3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 x14ac:dyDescent="0.3">
      <c r="A275" s="26">
        <v>272</v>
      </c>
      <c r="B275" s="4"/>
      <c r="C275" s="8"/>
      <c r="D275" s="37"/>
      <c r="E275" s="4"/>
      <c r="F275" s="27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x14ac:dyDescent="0.3">
      <c r="A276" s="26">
        <v>273</v>
      </c>
      <c r="B276" s="4"/>
      <c r="C276" s="8"/>
      <c r="D276" s="37"/>
      <c r="E276" s="4"/>
      <c r="F276" s="27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x14ac:dyDescent="0.3">
      <c r="A277" s="26">
        <v>274</v>
      </c>
      <c r="B277" s="4"/>
      <c r="C277" s="8"/>
      <c r="D277" s="37"/>
      <c r="E277" s="4"/>
      <c r="F277" s="27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x14ac:dyDescent="0.3">
      <c r="A278" s="26">
        <v>275</v>
      </c>
      <c r="B278" s="4"/>
      <c r="C278" s="8"/>
      <c r="D278" s="37"/>
      <c r="E278" s="4"/>
      <c r="F278" s="27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x14ac:dyDescent="0.3">
      <c r="A279" s="26">
        <v>276</v>
      </c>
      <c r="B279" s="4"/>
      <c r="C279" s="8"/>
      <c r="D279" s="37"/>
      <c r="E279" s="4"/>
      <c r="F279" s="27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x14ac:dyDescent="0.3">
      <c r="A280" s="26">
        <v>277</v>
      </c>
      <c r="B280" s="4"/>
      <c r="C280" s="8"/>
      <c r="D280" s="37"/>
      <c r="E280" s="4"/>
      <c r="F280" s="27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x14ac:dyDescent="0.3">
      <c r="A281" s="26">
        <v>278</v>
      </c>
      <c r="B281" s="4"/>
      <c r="C281" s="8"/>
      <c r="D281" s="37"/>
      <c r="E281" s="4"/>
      <c r="F281" s="27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x14ac:dyDescent="0.3">
      <c r="A282" s="26">
        <v>279</v>
      </c>
      <c r="B282" s="4"/>
      <c r="C282" s="8"/>
      <c r="D282" s="37"/>
      <c r="E282" s="4"/>
      <c r="F282" s="27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x14ac:dyDescent="0.3">
      <c r="A283" s="26">
        <v>280</v>
      </c>
      <c r="B283" s="4"/>
      <c r="C283" s="8"/>
      <c r="D283" s="37"/>
      <c r="E283" s="4"/>
      <c r="F283" s="27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x14ac:dyDescent="0.3">
      <c r="A284" s="26">
        <v>281</v>
      </c>
      <c r="B284" s="4"/>
      <c r="C284" s="8"/>
      <c r="D284" s="37"/>
      <c r="E284" s="4"/>
      <c r="F284" s="27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x14ac:dyDescent="0.3">
      <c r="A285" s="26">
        <v>282</v>
      </c>
      <c r="B285" s="4"/>
      <c r="C285" s="8"/>
      <c r="D285" s="37"/>
      <c r="E285" s="4"/>
      <c r="F285" s="27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x14ac:dyDescent="0.3">
      <c r="A286" s="26">
        <v>283</v>
      </c>
      <c r="B286" s="4"/>
      <c r="C286" s="8"/>
      <c r="D286" s="37"/>
      <c r="E286" s="4"/>
      <c r="F286" s="27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x14ac:dyDescent="0.3">
      <c r="A287" s="26">
        <v>284</v>
      </c>
      <c r="B287" s="4"/>
      <c r="C287" s="8"/>
      <c r="D287" s="37"/>
      <c r="E287" s="4"/>
      <c r="F287" s="27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x14ac:dyDescent="0.3">
      <c r="A288" s="26">
        <v>285</v>
      </c>
      <c r="B288" s="4"/>
      <c r="C288" s="8"/>
      <c r="D288" s="37"/>
      <c r="E288" s="4"/>
      <c r="F288" s="27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x14ac:dyDescent="0.3">
      <c r="A289" s="26">
        <v>286</v>
      </c>
      <c r="B289" s="4"/>
      <c r="C289" s="8"/>
      <c r="D289" s="37"/>
      <c r="E289" s="4"/>
      <c r="F289" s="27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x14ac:dyDescent="0.3">
      <c r="A290" s="26">
        <v>287</v>
      </c>
      <c r="B290" s="4"/>
      <c r="C290" s="8"/>
      <c r="D290" s="37"/>
      <c r="E290" s="4"/>
      <c r="F290" s="27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x14ac:dyDescent="0.3">
      <c r="A291" s="26">
        <v>288</v>
      </c>
      <c r="B291" s="4"/>
      <c r="C291" s="8"/>
      <c r="D291" s="37"/>
      <c r="E291" s="4"/>
      <c r="F291" s="27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x14ac:dyDescent="0.3">
      <c r="A292" s="26">
        <v>289</v>
      </c>
      <c r="B292" s="4"/>
      <c r="C292" s="8"/>
      <c r="D292" s="37"/>
      <c r="E292" s="4"/>
      <c r="F292" s="27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x14ac:dyDescent="0.3">
      <c r="A293" s="26">
        <v>290</v>
      </c>
      <c r="B293" s="4"/>
      <c r="C293" s="8"/>
      <c r="D293" s="37"/>
      <c r="E293" s="4"/>
      <c r="F293" s="27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x14ac:dyDescent="0.3">
      <c r="A294" s="26">
        <v>291</v>
      </c>
      <c r="B294" s="4"/>
      <c r="C294" s="8"/>
      <c r="D294" s="37"/>
      <c r="E294" s="4"/>
      <c r="F294" s="27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x14ac:dyDescent="0.3">
      <c r="A295" s="26">
        <v>292</v>
      </c>
      <c r="B295" s="4"/>
      <c r="C295" s="8"/>
      <c r="D295" s="37"/>
      <c r="E295" s="4"/>
      <c r="F295" s="27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x14ac:dyDescent="0.3">
      <c r="A296" s="26">
        <v>293</v>
      </c>
      <c r="B296" s="4"/>
      <c r="C296" s="8"/>
      <c r="D296" s="37"/>
      <c r="E296" s="4"/>
      <c r="F296" s="27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x14ac:dyDescent="0.3">
      <c r="A297" s="26">
        <v>294</v>
      </c>
      <c r="B297" s="4"/>
      <c r="C297" s="8"/>
      <c r="D297" s="37"/>
      <c r="E297" s="4"/>
      <c r="F297" s="27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x14ac:dyDescent="0.3">
      <c r="A298" s="26">
        <v>295</v>
      </c>
      <c r="B298" s="4"/>
      <c r="C298" s="8"/>
      <c r="D298" s="37"/>
      <c r="E298" s="4"/>
      <c r="F298" s="27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x14ac:dyDescent="0.3">
      <c r="A299" s="26">
        <v>296</v>
      </c>
      <c r="B299" s="4"/>
      <c r="C299" s="8"/>
      <c r="D299" s="37"/>
      <c r="E299" s="4"/>
      <c r="F299" s="27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x14ac:dyDescent="0.3">
      <c r="A300" s="26">
        <v>297</v>
      </c>
      <c r="B300" s="4"/>
      <c r="C300" s="8"/>
      <c r="D300" s="37"/>
      <c r="E300" s="4"/>
      <c r="F300" s="27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x14ac:dyDescent="0.3">
      <c r="A301" s="26">
        <v>298</v>
      </c>
      <c r="B301" s="4"/>
      <c r="C301" s="8"/>
      <c r="D301" s="27"/>
      <c r="E301" s="32"/>
      <c r="F301" s="27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x14ac:dyDescent="0.3">
      <c r="A302" s="26">
        <v>299</v>
      </c>
      <c r="B302" s="4"/>
      <c r="C302" s="8"/>
      <c r="D302" s="27"/>
      <c r="E302" s="32"/>
      <c r="F302" s="27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x14ac:dyDescent="0.3">
      <c r="A303" s="26">
        <v>300</v>
      </c>
      <c r="B303" s="4"/>
      <c r="C303" s="8"/>
      <c r="D303" s="27"/>
      <c r="E303" s="32"/>
      <c r="F303" s="27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x14ac:dyDescent="0.3">
      <c r="A304" s="26">
        <v>301</v>
      </c>
      <c r="B304" s="4"/>
      <c r="C304" s="8"/>
      <c r="D304" s="27"/>
      <c r="E304" s="32"/>
      <c r="F304" s="27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x14ac:dyDescent="0.3">
      <c r="A305" s="26">
        <v>302</v>
      </c>
      <c r="B305" s="4"/>
      <c r="C305" s="8"/>
      <c r="D305" s="27"/>
      <c r="E305" s="32"/>
      <c r="F305" s="27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x14ac:dyDescent="0.3">
      <c r="A306" s="26">
        <v>303</v>
      </c>
      <c r="B306" s="4"/>
      <c r="C306" s="8"/>
      <c r="D306" s="27"/>
      <c r="E306" s="32"/>
      <c r="F306" s="27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x14ac:dyDescent="0.3">
      <c r="A307" s="26">
        <v>304</v>
      </c>
      <c r="B307" s="4"/>
      <c r="C307" s="8"/>
      <c r="D307" s="27"/>
      <c r="E307" s="32"/>
      <c r="F307" s="27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x14ac:dyDescent="0.3">
      <c r="A308" s="26">
        <v>305</v>
      </c>
      <c r="B308" s="4"/>
      <c r="C308" s="8"/>
      <c r="D308" s="27"/>
      <c r="E308" s="32"/>
      <c r="F308" s="27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x14ac:dyDescent="0.3">
      <c r="A309" s="26">
        <v>306</v>
      </c>
      <c r="B309" s="4"/>
      <c r="C309" s="8"/>
      <c r="D309" s="27"/>
      <c r="E309" s="32"/>
      <c r="F309" s="27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x14ac:dyDescent="0.3">
      <c r="A310" s="26">
        <v>307</v>
      </c>
      <c r="B310" s="4"/>
      <c r="C310" s="8"/>
      <c r="D310" s="27"/>
      <c r="E310" s="32"/>
      <c r="F310" s="27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x14ac:dyDescent="0.3">
      <c r="A311" s="26">
        <v>308</v>
      </c>
      <c r="B311" s="4"/>
      <c r="C311" s="8"/>
      <c r="D311" s="27"/>
      <c r="E311" s="32"/>
      <c r="F311" s="27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x14ac:dyDescent="0.3">
      <c r="A312" s="26">
        <v>309</v>
      </c>
      <c r="B312" s="4"/>
      <c r="C312" s="8"/>
      <c r="D312" s="27"/>
      <c r="E312" s="32"/>
      <c r="F312" s="27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x14ac:dyDescent="0.3">
      <c r="A313" s="26">
        <v>310</v>
      </c>
      <c r="B313" s="4"/>
      <c r="C313" s="8"/>
      <c r="D313" s="27"/>
      <c r="E313" s="32"/>
      <c r="F313" s="27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x14ac:dyDescent="0.3">
      <c r="A314" s="26">
        <v>311</v>
      </c>
      <c r="B314" s="4"/>
      <c r="C314" s="8"/>
      <c r="D314" s="27"/>
      <c r="E314" s="32"/>
      <c r="F314" s="27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x14ac:dyDescent="0.3">
      <c r="A315" s="26">
        <v>312</v>
      </c>
      <c r="B315" s="4"/>
      <c r="C315" s="8"/>
      <c r="D315" s="27"/>
      <c r="E315" s="32"/>
      <c r="F315" s="27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x14ac:dyDescent="0.3">
      <c r="A316" s="26">
        <v>313</v>
      </c>
      <c r="B316" s="4"/>
      <c r="C316" s="8"/>
      <c r="D316" s="27"/>
      <c r="E316" s="32"/>
      <c r="F316" s="27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x14ac:dyDescent="0.3">
      <c r="A317" s="26">
        <v>314</v>
      </c>
      <c r="B317" s="4"/>
      <c r="C317" s="8"/>
      <c r="D317" s="27"/>
      <c r="E317" s="32"/>
      <c r="F317" s="27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x14ac:dyDescent="0.3">
      <c r="A318" s="26">
        <v>315</v>
      </c>
      <c r="B318" s="4"/>
      <c r="C318" s="8"/>
      <c r="D318" s="27"/>
      <c r="E318" s="32"/>
      <c r="F318" s="27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x14ac:dyDescent="0.3">
      <c r="A319" s="26">
        <v>316</v>
      </c>
      <c r="B319" s="4"/>
      <c r="C319" s="8"/>
      <c r="D319" s="27"/>
      <c r="E319" s="32"/>
      <c r="F319" s="27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x14ac:dyDescent="0.3">
      <c r="A320" s="26">
        <v>317</v>
      </c>
      <c r="B320" s="4"/>
      <c r="C320" s="8"/>
      <c r="D320" s="27"/>
      <c r="E320" s="32"/>
      <c r="F320" s="27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x14ac:dyDescent="0.3">
      <c r="A321" s="26">
        <v>318</v>
      </c>
      <c r="B321" s="4"/>
      <c r="C321" s="8"/>
      <c r="D321" s="27"/>
      <c r="E321" s="32"/>
      <c r="F321" s="27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x14ac:dyDescent="0.3">
      <c r="A322" s="26">
        <v>319</v>
      </c>
      <c r="B322" s="4"/>
      <c r="C322" s="8"/>
      <c r="D322" s="27"/>
      <c r="E322" s="32"/>
      <c r="F322" s="27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x14ac:dyDescent="0.3">
      <c r="A323" s="26">
        <v>320</v>
      </c>
      <c r="B323" s="4"/>
      <c r="C323" s="8"/>
      <c r="D323" s="27"/>
      <c r="E323" s="32"/>
      <c r="F323" s="27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x14ac:dyDescent="0.3">
      <c r="A324" s="26">
        <v>321</v>
      </c>
      <c r="B324" s="4"/>
      <c r="C324" s="8"/>
      <c r="D324" s="27"/>
      <c r="E324" s="32"/>
      <c r="F324" s="27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x14ac:dyDescent="0.3">
      <c r="A325" s="26">
        <v>322</v>
      </c>
      <c r="B325" s="4"/>
      <c r="C325" s="8"/>
      <c r="D325" s="27"/>
      <c r="E325" s="32"/>
      <c r="F325" s="27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x14ac:dyDescent="0.3">
      <c r="A326" s="26">
        <v>323</v>
      </c>
      <c r="B326" s="4"/>
      <c r="C326" s="8"/>
      <c r="D326" s="27"/>
      <c r="E326" s="32"/>
      <c r="F326" s="27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x14ac:dyDescent="0.3">
      <c r="A327" s="26">
        <v>324</v>
      </c>
      <c r="B327" s="4"/>
      <c r="C327" s="8"/>
      <c r="D327" s="27"/>
      <c r="E327" s="32"/>
      <c r="F327" s="27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x14ac:dyDescent="0.3">
      <c r="A328" s="26">
        <v>325</v>
      </c>
      <c r="B328" s="4"/>
      <c r="C328" s="8"/>
      <c r="D328" s="27"/>
      <c r="E328" s="32"/>
      <c r="F328" s="27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x14ac:dyDescent="0.3">
      <c r="A329" s="26">
        <v>326</v>
      </c>
      <c r="B329" s="4"/>
      <c r="C329" s="8"/>
      <c r="D329" s="27"/>
      <c r="E329" s="32"/>
      <c r="F329" s="27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x14ac:dyDescent="0.3">
      <c r="A330" s="26">
        <v>327</v>
      </c>
      <c r="B330" s="4"/>
      <c r="C330" s="8"/>
      <c r="D330" s="27"/>
      <c r="E330" s="32"/>
      <c r="F330" s="27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x14ac:dyDescent="0.3">
      <c r="A331" s="26">
        <v>328</v>
      </c>
      <c r="B331" s="4"/>
      <c r="C331" s="8"/>
      <c r="D331" s="27"/>
      <c r="E331" s="32"/>
      <c r="F331" s="27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x14ac:dyDescent="0.3">
      <c r="A332" s="26">
        <v>329</v>
      </c>
      <c r="B332" s="4"/>
      <c r="C332" s="8"/>
      <c r="D332" s="27"/>
      <c r="E332" s="32"/>
      <c r="F332" s="27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x14ac:dyDescent="0.3">
      <c r="A333" s="26">
        <v>330</v>
      </c>
      <c r="B333" s="4"/>
      <c r="C333" s="8"/>
      <c r="D333" s="27"/>
      <c r="E333" s="32"/>
      <c r="F333" s="27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x14ac:dyDescent="0.3">
      <c r="A334" s="26">
        <v>331</v>
      </c>
      <c r="B334" s="4"/>
      <c r="C334" s="8"/>
      <c r="D334" s="27"/>
      <c r="E334" s="32"/>
      <c r="F334" s="27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x14ac:dyDescent="0.3">
      <c r="A335" s="26">
        <v>332</v>
      </c>
      <c r="B335" s="4"/>
      <c r="C335" s="8"/>
      <c r="D335" s="27"/>
      <c r="E335" s="32"/>
      <c r="F335" s="27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x14ac:dyDescent="0.3">
      <c r="A336" s="26">
        <v>333</v>
      </c>
      <c r="B336" s="4"/>
      <c r="C336" s="8"/>
      <c r="D336" s="27"/>
      <c r="E336" s="32"/>
      <c r="F336" s="27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x14ac:dyDescent="0.3">
      <c r="A337" s="26">
        <v>334</v>
      </c>
      <c r="B337" s="4"/>
      <c r="C337" s="8"/>
      <c r="D337" s="27"/>
      <c r="E337" s="32"/>
      <c r="F337" s="27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x14ac:dyDescent="0.3">
      <c r="A338" s="26">
        <v>335</v>
      </c>
      <c r="B338" s="4"/>
      <c r="C338" s="8"/>
      <c r="D338" s="27"/>
      <c r="E338" s="32"/>
      <c r="F338" s="27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x14ac:dyDescent="0.3">
      <c r="A339" s="26">
        <v>336</v>
      </c>
      <c r="B339" s="4"/>
      <c r="C339" s="8"/>
      <c r="D339" s="27"/>
      <c r="E339" s="32"/>
      <c r="F339" s="27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x14ac:dyDescent="0.3">
      <c r="A340" s="26">
        <v>337</v>
      </c>
      <c r="B340" s="4"/>
      <c r="C340" s="8"/>
      <c r="D340" s="27"/>
      <c r="E340" s="32"/>
      <c r="F340" s="27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x14ac:dyDescent="0.3">
      <c r="A341" s="26">
        <v>338</v>
      </c>
      <c r="B341" s="4"/>
      <c r="C341" s="8"/>
      <c r="D341" s="27"/>
      <c r="E341" s="32"/>
      <c r="F341" s="27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x14ac:dyDescent="0.3">
      <c r="A342" s="26">
        <v>339</v>
      </c>
      <c r="B342" s="4"/>
      <c r="C342" s="8"/>
      <c r="D342" s="27"/>
      <c r="E342" s="32"/>
      <c r="F342" s="27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x14ac:dyDescent="0.3">
      <c r="A343" s="26">
        <v>340</v>
      </c>
      <c r="B343" s="4"/>
      <c r="C343" s="8"/>
      <c r="D343" s="27"/>
      <c r="E343" s="32"/>
      <c r="F343" s="27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x14ac:dyDescent="0.3">
      <c r="A344" s="26">
        <v>341</v>
      </c>
      <c r="B344" s="4"/>
      <c r="C344" s="8"/>
      <c r="D344" s="27"/>
      <c r="E344" s="32"/>
      <c r="F344" s="27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x14ac:dyDescent="0.3">
      <c r="A345" s="26">
        <v>342</v>
      </c>
      <c r="B345" s="4"/>
      <c r="C345" s="8"/>
      <c r="D345" s="27"/>
      <c r="E345" s="32"/>
      <c r="F345" s="27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x14ac:dyDescent="0.3">
      <c r="A346" s="26">
        <v>343</v>
      </c>
      <c r="B346" s="4"/>
      <c r="C346" s="8"/>
      <c r="D346" s="27"/>
      <c r="E346" s="32"/>
      <c r="F346" s="27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x14ac:dyDescent="0.3">
      <c r="A347" s="26">
        <v>344</v>
      </c>
      <c r="B347" s="4"/>
      <c r="C347" s="8"/>
      <c r="D347" s="27"/>
      <c r="E347" s="32"/>
      <c r="F347" s="27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x14ac:dyDescent="0.3">
      <c r="A348" s="26">
        <v>345</v>
      </c>
      <c r="B348" s="4"/>
      <c r="C348" s="8"/>
      <c r="D348" s="27"/>
      <c r="E348" s="32"/>
      <c r="F348" s="27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x14ac:dyDescent="0.3">
      <c r="A349" s="26">
        <v>346</v>
      </c>
      <c r="B349" s="4"/>
      <c r="C349" s="8"/>
      <c r="D349" s="27"/>
      <c r="E349" s="32"/>
      <c r="F349" s="27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x14ac:dyDescent="0.3">
      <c r="A350" s="26">
        <v>347</v>
      </c>
      <c r="B350" s="4"/>
      <c r="C350" s="8"/>
      <c r="D350" s="27"/>
      <c r="E350" s="32"/>
      <c r="F350" s="27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x14ac:dyDescent="0.3">
      <c r="A351" s="26">
        <v>348</v>
      </c>
      <c r="B351" s="4"/>
      <c r="C351" s="8"/>
      <c r="D351" s="27"/>
      <c r="E351" s="32"/>
      <c r="F351" s="38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x14ac:dyDescent="0.3">
      <c r="A352" s="26">
        <v>349</v>
      </c>
      <c r="B352" s="4"/>
      <c r="C352" s="8"/>
      <c r="D352" s="27"/>
      <c r="E352" s="32"/>
      <c r="F352" s="27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x14ac:dyDescent="0.3">
      <c r="A353" s="26">
        <v>350</v>
      </c>
      <c r="B353" s="4"/>
      <c r="C353" s="8"/>
      <c r="D353" s="27"/>
      <c r="E353" s="32"/>
      <c r="F353" s="27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x14ac:dyDescent="0.3">
      <c r="A354" s="26">
        <v>351</v>
      </c>
      <c r="B354" s="4"/>
      <c r="C354" s="8"/>
      <c r="D354" s="27"/>
      <c r="E354" s="32"/>
      <c r="F354" s="27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x14ac:dyDescent="0.3">
      <c r="A355" s="26">
        <v>352</v>
      </c>
      <c r="B355" s="4"/>
      <c r="C355" s="8"/>
      <c r="D355" s="27"/>
      <c r="E355" s="32"/>
      <c r="F355" s="27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x14ac:dyDescent="0.3">
      <c r="A356" s="26">
        <v>353</v>
      </c>
      <c r="B356" s="4"/>
      <c r="C356" s="8"/>
      <c r="D356" s="27"/>
      <c r="E356" s="32"/>
      <c r="F356" s="27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x14ac:dyDescent="0.3">
      <c r="A357" s="26">
        <v>354</v>
      </c>
      <c r="B357" s="4"/>
      <c r="C357" s="8"/>
      <c r="D357" s="27"/>
      <c r="E357" s="32"/>
      <c r="F357" s="27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x14ac:dyDescent="0.3">
      <c r="A358" s="26">
        <v>355</v>
      </c>
      <c r="B358" s="4"/>
      <c r="C358" s="8"/>
      <c r="D358" s="27"/>
      <c r="E358" s="32"/>
      <c r="F358" s="27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x14ac:dyDescent="0.3">
      <c r="A359" s="26">
        <v>356</v>
      </c>
      <c r="B359" s="4"/>
      <c r="C359" s="8"/>
      <c r="D359" s="27"/>
      <c r="E359" s="32"/>
      <c r="F359" s="27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x14ac:dyDescent="0.3">
      <c r="A360" s="26">
        <v>357</v>
      </c>
      <c r="B360" s="4"/>
      <c r="C360" s="8"/>
      <c r="D360" s="27"/>
      <c r="E360" s="32"/>
      <c r="F360" s="27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x14ac:dyDescent="0.3">
      <c r="A361" s="26">
        <v>358</v>
      </c>
      <c r="B361" s="4"/>
      <c r="C361" s="8"/>
      <c r="D361" s="27"/>
      <c r="E361" s="32"/>
      <c r="F361" s="27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x14ac:dyDescent="0.3">
      <c r="A362" s="26">
        <v>359</v>
      </c>
      <c r="B362" s="4"/>
      <c r="C362" s="8"/>
      <c r="D362" s="27"/>
      <c r="E362" s="32"/>
      <c r="F362" s="27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x14ac:dyDescent="0.3">
      <c r="A363" s="26">
        <v>360</v>
      </c>
      <c r="B363" s="4"/>
      <c r="C363" s="8"/>
      <c r="D363" s="27"/>
      <c r="E363" s="32"/>
      <c r="F363" s="27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x14ac:dyDescent="0.3">
      <c r="A364" s="26">
        <v>361</v>
      </c>
      <c r="B364" s="4"/>
      <c r="C364" s="8"/>
      <c r="D364" s="27"/>
      <c r="E364" s="32"/>
      <c r="F364" s="27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x14ac:dyDescent="0.3">
      <c r="A365" s="26">
        <v>362</v>
      </c>
      <c r="B365" s="4"/>
      <c r="C365" s="8"/>
      <c r="D365" s="27"/>
      <c r="E365" s="32"/>
      <c r="F365" s="27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x14ac:dyDescent="0.3">
      <c r="A366" s="26">
        <v>363</v>
      </c>
      <c r="B366" s="4"/>
      <c r="C366" s="8"/>
      <c r="D366" s="27"/>
      <c r="E366" s="32"/>
      <c r="F366" s="27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x14ac:dyDescent="0.3">
      <c r="A367" s="26">
        <v>364</v>
      </c>
      <c r="B367" s="4"/>
      <c r="C367" s="8"/>
      <c r="D367" s="27"/>
      <c r="E367" s="32"/>
      <c r="F367" s="27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x14ac:dyDescent="0.3">
      <c r="A368" s="26">
        <v>365</v>
      </c>
      <c r="B368" s="4"/>
      <c r="C368" s="8"/>
      <c r="D368" s="27"/>
      <c r="E368" s="32"/>
      <c r="F368" s="27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x14ac:dyDescent="0.3">
      <c r="A369" s="26">
        <v>366</v>
      </c>
      <c r="B369" s="4"/>
      <c r="C369" s="8"/>
      <c r="D369" s="27"/>
      <c r="E369" s="32"/>
      <c r="F369" s="27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x14ac:dyDescent="0.3">
      <c r="A370" s="26">
        <v>367</v>
      </c>
      <c r="B370" s="4"/>
      <c r="C370" s="8"/>
      <c r="D370" s="27"/>
      <c r="E370" s="32"/>
      <c r="F370" s="27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x14ac:dyDescent="0.3">
      <c r="A371" s="26">
        <v>368</v>
      </c>
      <c r="B371" s="4"/>
      <c r="C371" s="8"/>
      <c r="D371" s="27"/>
      <c r="E371" s="32"/>
      <c r="F371" s="27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x14ac:dyDescent="0.3">
      <c r="A372" s="26">
        <v>369</v>
      </c>
      <c r="B372" s="4"/>
      <c r="C372" s="8"/>
      <c r="D372" s="27"/>
      <c r="E372" s="32"/>
      <c r="F372" s="27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x14ac:dyDescent="0.3">
      <c r="A373" s="26">
        <v>370</v>
      </c>
      <c r="B373" s="4"/>
      <c r="C373" s="8"/>
      <c r="D373" s="27"/>
      <c r="E373" s="32"/>
      <c r="F373" s="27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x14ac:dyDescent="0.3">
      <c r="A374" s="26">
        <v>371</v>
      </c>
      <c r="B374" s="4"/>
      <c r="C374" s="8"/>
      <c r="D374" s="27"/>
      <c r="E374" s="32"/>
      <c r="F374" s="27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x14ac:dyDescent="0.3">
      <c r="A375" s="26">
        <v>372</v>
      </c>
      <c r="B375" s="4"/>
      <c r="C375" s="8"/>
      <c r="D375" s="27"/>
      <c r="E375" s="32"/>
      <c r="F375" s="27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x14ac:dyDescent="0.3">
      <c r="A376" s="26">
        <v>373</v>
      </c>
      <c r="B376" s="4"/>
      <c r="C376" s="8"/>
      <c r="D376" s="27"/>
      <c r="E376" s="32"/>
      <c r="F376" s="27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x14ac:dyDescent="0.3">
      <c r="A377" s="26">
        <v>374</v>
      </c>
      <c r="B377" s="4"/>
      <c r="C377" s="8"/>
      <c r="D377" s="27"/>
      <c r="E377" s="32"/>
      <c r="F377" s="27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x14ac:dyDescent="0.3">
      <c r="A378" s="26">
        <v>375</v>
      </c>
      <c r="B378" s="4"/>
      <c r="C378" s="8"/>
      <c r="D378" s="27"/>
      <c r="E378" s="32"/>
      <c r="F378" s="27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x14ac:dyDescent="0.3">
      <c r="A379" s="26">
        <v>376</v>
      </c>
      <c r="B379" s="4"/>
      <c r="C379" s="8"/>
      <c r="D379" s="27"/>
      <c r="E379" s="32"/>
      <c r="F379" s="27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x14ac:dyDescent="0.3">
      <c r="A380" s="26">
        <v>377</v>
      </c>
      <c r="B380" s="4"/>
      <c r="C380" s="8"/>
      <c r="D380" s="27"/>
      <c r="E380" s="32"/>
      <c r="F380" s="27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x14ac:dyDescent="0.3">
      <c r="A381" s="26">
        <v>378</v>
      </c>
      <c r="B381" s="4"/>
      <c r="C381" s="8"/>
      <c r="D381" s="27"/>
      <c r="E381" s="32"/>
      <c r="F381" s="27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x14ac:dyDescent="0.3">
      <c r="A382" s="26">
        <v>379</v>
      </c>
      <c r="B382" s="4"/>
      <c r="C382" s="8"/>
      <c r="D382" s="27"/>
      <c r="E382" s="32"/>
      <c r="F382" s="27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x14ac:dyDescent="0.3">
      <c r="A383" s="26">
        <v>380</v>
      </c>
      <c r="B383" s="4"/>
      <c r="C383" s="8"/>
      <c r="D383" s="27"/>
      <c r="E383" s="32"/>
      <c r="F383" s="27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x14ac:dyDescent="0.3">
      <c r="A384" s="26">
        <v>381</v>
      </c>
      <c r="B384" s="4"/>
      <c r="C384" s="8"/>
      <c r="D384" s="27"/>
      <c r="E384" s="32"/>
      <c r="F384" s="27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x14ac:dyDescent="0.3">
      <c r="A385" s="26">
        <v>382</v>
      </c>
      <c r="B385" s="4"/>
      <c r="C385" s="8"/>
      <c r="D385" s="27"/>
      <c r="E385" s="32"/>
      <c r="F385" s="27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x14ac:dyDescent="0.3">
      <c r="A386" s="26">
        <v>383</v>
      </c>
      <c r="B386" s="4"/>
      <c r="C386" s="8"/>
      <c r="D386" s="27"/>
      <c r="E386" s="32"/>
      <c r="F386" s="27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x14ac:dyDescent="0.3">
      <c r="A387" s="26">
        <v>384</v>
      </c>
      <c r="B387" s="4"/>
      <c r="C387" s="8"/>
      <c r="D387" s="27"/>
      <c r="E387" s="32"/>
      <c r="F387" s="27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x14ac:dyDescent="0.3">
      <c r="A388" s="26">
        <v>385</v>
      </c>
      <c r="B388" s="4"/>
      <c r="C388" s="8"/>
      <c r="D388" s="27"/>
      <c r="E388" s="32"/>
      <c r="F388" s="27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x14ac:dyDescent="0.3">
      <c r="A389" s="26">
        <v>386</v>
      </c>
      <c r="B389" s="4"/>
      <c r="C389" s="8"/>
      <c r="D389" s="27"/>
      <c r="E389" s="32"/>
      <c r="F389" s="27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x14ac:dyDescent="0.3">
      <c r="A390" s="26">
        <v>387</v>
      </c>
      <c r="B390" s="4"/>
      <c r="C390" s="8"/>
      <c r="D390" s="27"/>
      <c r="E390" s="32"/>
      <c r="F390" s="27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x14ac:dyDescent="0.3">
      <c r="A391" s="26">
        <v>388</v>
      </c>
      <c r="B391" s="4"/>
      <c r="C391" s="8"/>
      <c r="D391" s="27"/>
      <c r="E391" s="32"/>
      <c r="F391" s="27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x14ac:dyDescent="0.3">
      <c r="A392" s="26">
        <v>389</v>
      </c>
      <c r="B392" s="4"/>
      <c r="C392" s="8"/>
      <c r="D392" s="27"/>
      <c r="E392" s="32"/>
      <c r="F392" s="27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x14ac:dyDescent="0.3">
      <c r="A393" s="26">
        <v>390</v>
      </c>
      <c r="B393" s="4"/>
      <c r="C393" s="8"/>
      <c r="D393" s="27"/>
      <c r="E393" s="32"/>
      <c r="F393" s="27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x14ac:dyDescent="0.3">
      <c r="A394" s="26">
        <v>391</v>
      </c>
      <c r="B394" s="4"/>
      <c r="C394" s="8"/>
      <c r="D394" s="27"/>
      <c r="E394" s="32"/>
      <c r="F394" s="27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x14ac:dyDescent="0.3">
      <c r="A395" s="26">
        <v>392</v>
      </c>
      <c r="B395" s="4"/>
      <c r="C395" s="8"/>
      <c r="D395" s="27"/>
      <c r="E395" s="32"/>
      <c r="F395" s="27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x14ac:dyDescent="0.3">
      <c r="A396" s="26">
        <v>393</v>
      </c>
      <c r="B396" s="4"/>
      <c r="C396" s="8"/>
      <c r="D396" s="27"/>
      <c r="E396" s="32"/>
      <c r="F396" s="27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x14ac:dyDescent="0.3">
      <c r="A397" s="26">
        <v>394</v>
      </c>
      <c r="B397" s="4"/>
      <c r="C397" s="8"/>
      <c r="D397" s="27"/>
      <c r="E397" s="32"/>
      <c r="F397" s="27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x14ac:dyDescent="0.3">
      <c r="A398" s="26">
        <v>395</v>
      </c>
      <c r="B398" s="4"/>
      <c r="C398" s="8"/>
      <c r="D398" s="27"/>
      <c r="E398" s="32"/>
      <c r="F398" s="27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x14ac:dyDescent="0.3">
      <c r="A399" s="26">
        <v>396</v>
      </c>
      <c r="B399" s="4"/>
      <c r="C399" s="8"/>
      <c r="D399" s="27"/>
      <c r="E399" s="32"/>
      <c r="F399" s="27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x14ac:dyDescent="0.3">
      <c r="A400" s="26">
        <v>397</v>
      </c>
      <c r="B400" s="4"/>
      <c r="C400" s="8"/>
      <c r="D400" s="27"/>
      <c r="E400" s="32"/>
      <c r="F400" s="27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x14ac:dyDescent="0.3">
      <c r="A401" s="26">
        <v>398</v>
      </c>
      <c r="B401" s="4"/>
      <c r="C401" s="8"/>
      <c r="D401" s="27"/>
      <c r="E401" s="32"/>
      <c r="F401" s="27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x14ac:dyDescent="0.3">
      <c r="A402" s="26">
        <v>399</v>
      </c>
      <c r="B402" s="4"/>
      <c r="C402" s="8"/>
      <c r="D402" s="27"/>
      <c r="E402" s="32"/>
      <c r="F402" s="27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x14ac:dyDescent="0.3">
      <c r="A403" s="26">
        <v>400</v>
      </c>
      <c r="B403" s="4"/>
      <c r="C403" s="8"/>
      <c r="D403" s="27"/>
      <c r="E403" s="32"/>
      <c r="F403" s="27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x14ac:dyDescent="0.3">
      <c r="A404" s="26">
        <v>401</v>
      </c>
      <c r="B404" s="4"/>
      <c r="C404" s="8"/>
      <c r="D404" s="27"/>
      <c r="E404" s="32"/>
      <c r="F404" s="27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x14ac:dyDescent="0.3">
      <c r="A405" s="26">
        <v>402</v>
      </c>
      <c r="B405" s="4"/>
      <c r="C405" s="8"/>
      <c r="D405" s="27"/>
      <c r="E405" s="32"/>
      <c r="F405" s="27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x14ac:dyDescent="0.3">
      <c r="A406" s="26">
        <v>403</v>
      </c>
      <c r="B406" s="4"/>
      <c r="C406" s="8"/>
      <c r="D406" s="27"/>
      <c r="E406" s="32"/>
      <c r="F406" s="27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x14ac:dyDescent="0.3">
      <c r="A407" s="26">
        <v>404</v>
      </c>
      <c r="B407" s="4"/>
      <c r="C407" s="8"/>
      <c r="D407" s="27"/>
      <c r="E407" s="32"/>
      <c r="F407" s="27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x14ac:dyDescent="0.3">
      <c r="A408" s="26">
        <v>405</v>
      </c>
      <c r="B408" s="4"/>
      <c r="C408" s="8"/>
      <c r="D408" s="27"/>
      <c r="E408" s="32"/>
      <c r="F408" s="27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x14ac:dyDescent="0.3">
      <c r="A409" s="26">
        <v>406</v>
      </c>
      <c r="B409" s="4"/>
      <c r="C409" s="8"/>
      <c r="D409" s="27"/>
      <c r="E409" s="32"/>
      <c r="F409" s="27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x14ac:dyDescent="0.3">
      <c r="A410" s="26">
        <v>407</v>
      </c>
      <c r="B410" s="4"/>
      <c r="C410" s="8"/>
      <c r="D410" s="27"/>
      <c r="E410" s="32"/>
      <c r="F410" s="27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x14ac:dyDescent="0.3">
      <c r="A411" s="26">
        <v>408</v>
      </c>
      <c r="B411" s="4"/>
      <c r="C411" s="8"/>
      <c r="D411" s="27"/>
      <c r="E411" s="32"/>
      <c r="F411" s="27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x14ac:dyDescent="0.3">
      <c r="A412" s="26">
        <v>409</v>
      </c>
      <c r="B412" s="4"/>
      <c r="C412" s="8"/>
      <c r="D412" s="27"/>
      <c r="E412" s="32"/>
      <c r="F412" s="27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x14ac:dyDescent="0.3">
      <c r="A413" s="26">
        <v>410</v>
      </c>
      <c r="B413" s="4"/>
      <c r="C413" s="8"/>
      <c r="D413" s="27"/>
      <c r="E413" s="32"/>
      <c r="F413" s="27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x14ac:dyDescent="0.3">
      <c r="A414" s="26">
        <v>411</v>
      </c>
      <c r="B414" s="4"/>
      <c r="C414" s="8"/>
      <c r="D414" s="27"/>
      <c r="E414" s="32"/>
      <c r="F414" s="27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x14ac:dyDescent="0.3">
      <c r="A415" s="26">
        <v>412</v>
      </c>
      <c r="B415" s="4"/>
      <c r="C415" s="8"/>
      <c r="D415" s="27"/>
      <c r="E415" s="32"/>
      <c r="F415" s="27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x14ac:dyDescent="0.3">
      <c r="A416" s="26">
        <v>413</v>
      </c>
      <c r="B416" s="4"/>
      <c r="C416" s="8"/>
      <c r="D416" s="27"/>
      <c r="E416" s="32"/>
      <c r="F416" s="27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x14ac:dyDescent="0.3">
      <c r="A417" s="26">
        <v>414</v>
      </c>
      <c r="B417" s="4"/>
      <c r="C417" s="8"/>
      <c r="D417" s="27"/>
      <c r="E417" s="32"/>
      <c r="F417" s="27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x14ac:dyDescent="0.3">
      <c r="A418" s="26">
        <v>415</v>
      </c>
      <c r="B418" s="4"/>
      <c r="C418" s="8"/>
      <c r="D418" s="27"/>
      <c r="E418" s="32"/>
      <c r="F418" s="27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x14ac:dyDescent="0.3">
      <c r="A419" s="26">
        <v>416</v>
      </c>
      <c r="B419" s="4"/>
      <c r="C419" s="8"/>
      <c r="D419" s="27"/>
      <c r="E419" s="32"/>
      <c r="F419" s="27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x14ac:dyDescent="0.3">
      <c r="A420" s="26">
        <v>417</v>
      </c>
      <c r="B420" s="4"/>
      <c r="C420" s="8"/>
      <c r="D420" s="27"/>
      <c r="E420" s="32"/>
      <c r="F420" s="27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x14ac:dyDescent="0.3">
      <c r="A421" s="26">
        <v>418</v>
      </c>
      <c r="B421" s="4"/>
      <c r="C421" s="8"/>
      <c r="D421" s="27"/>
      <c r="E421" s="32"/>
      <c r="F421" s="27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x14ac:dyDescent="0.3">
      <c r="A422" s="26">
        <v>419</v>
      </c>
      <c r="B422" s="4"/>
      <c r="C422" s="8"/>
      <c r="D422" s="27"/>
      <c r="E422" s="32"/>
      <c r="F422" s="27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x14ac:dyDescent="0.3">
      <c r="A423" s="26">
        <v>420</v>
      </c>
      <c r="B423" s="4"/>
      <c r="C423" s="8"/>
      <c r="D423" s="37"/>
      <c r="E423" s="4"/>
      <c r="F423" s="35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 x14ac:dyDescent="0.3">
      <c r="A424" s="26">
        <v>421</v>
      </c>
      <c r="B424" s="4"/>
      <c r="C424" s="8"/>
      <c r="D424" s="37"/>
      <c r="E424" s="4"/>
      <c r="F424" s="35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 x14ac:dyDescent="0.3">
      <c r="A425" s="26">
        <v>422</v>
      </c>
      <c r="B425" s="4"/>
      <c r="C425" s="8"/>
      <c r="D425" s="27"/>
      <c r="E425" s="32"/>
      <c r="F425" s="27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x14ac:dyDescent="0.3">
      <c r="A426" s="26">
        <v>423</v>
      </c>
      <c r="B426" s="4"/>
      <c r="C426" s="8"/>
      <c r="D426" s="27"/>
      <c r="E426" s="32"/>
      <c r="F426" s="27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x14ac:dyDescent="0.3">
      <c r="A427" s="26">
        <v>424</v>
      </c>
      <c r="B427" s="4"/>
      <c r="C427" s="8"/>
      <c r="D427" s="27"/>
      <c r="E427" s="32"/>
      <c r="F427" s="27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x14ac:dyDescent="0.3">
      <c r="A428" s="26">
        <v>425</v>
      </c>
      <c r="B428" s="4"/>
      <c r="C428" s="8"/>
      <c r="D428" s="27"/>
      <c r="E428" s="32"/>
      <c r="F428" s="27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x14ac:dyDescent="0.3">
      <c r="A429" s="26">
        <v>426</v>
      </c>
      <c r="B429" s="4"/>
      <c r="C429" s="8"/>
      <c r="D429" s="27"/>
      <c r="E429" s="32"/>
      <c r="F429" s="27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x14ac:dyDescent="0.3">
      <c r="A430" s="26">
        <v>427</v>
      </c>
      <c r="B430" s="4"/>
      <c r="C430" s="8"/>
      <c r="D430" s="27"/>
      <c r="E430" s="32"/>
      <c r="F430" s="27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x14ac:dyDescent="0.3">
      <c r="A431" s="26">
        <v>428</v>
      </c>
      <c r="B431" s="4"/>
      <c r="C431" s="8"/>
      <c r="D431" s="27"/>
      <c r="E431" s="32"/>
      <c r="F431" s="27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x14ac:dyDescent="0.3">
      <c r="A432" s="26">
        <v>429</v>
      </c>
      <c r="B432" s="4"/>
      <c r="C432" s="8"/>
      <c r="D432" s="27"/>
      <c r="E432" s="32"/>
      <c r="F432" s="27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x14ac:dyDescent="0.3">
      <c r="A433" s="26">
        <v>430</v>
      </c>
      <c r="B433" s="4"/>
      <c r="C433" s="8"/>
      <c r="D433" s="27"/>
      <c r="E433" s="32"/>
      <c r="F433" s="27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x14ac:dyDescent="0.3">
      <c r="A434" s="26">
        <v>431</v>
      </c>
      <c r="B434" s="4"/>
      <c r="C434" s="8"/>
      <c r="D434" s="27"/>
      <c r="E434" s="32"/>
      <c r="F434" s="27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x14ac:dyDescent="0.3">
      <c r="A435" s="26">
        <v>432</v>
      </c>
      <c r="B435" s="4"/>
      <c r="C435" s="8"/>
      <c r="D435" s="27"/>
      <c r="E435" s="32"/>
      <c r="F435" s="27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x14ac:dyDescent="0.3">
      <c r="A436" s="26">
        <v>433</v>
      </c>
      <c r="B436" s="4"/>
      <c r="C436" s="8"/>
      <c r="D436" s="27"/>
      <c r="E436" s="32"/>
      <c r="F436" s="27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x14ac:dyDescent="0.3">
      <c r="A437" s="24" t="s">
        <v>76</v>
      </c>
      <c r="B437" s="7">
        <f>AVERAGE(G437:AB437)</f>
        <v>3.0880952380952378</v>
      </c>
      <c r="C437" s="7" t="s">
        <v>77</v>
      </c>
      <c r="D437" s="7"/>
      <c r="E437" s="21"/>
      <c r="F437" s="7"/>
      <c r="G437" s="7">
        <f t="shared" ref="G437:AB437" si="0">AVERAGE(G4:G436)</f>
        <v>2.9642857142857144</v>
      </c>
      <c r="H437" s="7">
        <f t="shared" si="0"/>
        <v>3.5714285714285716</v>
      </c>
      <c r="I437" s="7">
        <f t="shared" si="0"/>
        <v>3.0714285714285716</v>
      </c>
      <c r="J437" s="7">
        <f t="shared" si="0"/>
        <v>2.9642857142857144</v>
      </c>
      <c r="K437" s="7">
        <f t="shared" si="0"/>
        <v>3.0357142857142856</v>
      </c>
      <c r="L437" s="7">
        <f t="shared" si="0"/>
        <v>3.0357142857142856</v>
      </c>
      <c r="M437" s="7">
        <f t="shared" si="0"/>
        <v>3.2142857142857144</v>
      </c>
      <c r="N437" s="7">
        <f t="shared" si="0"/>
        <v>3.0357142857142856</v>
      </c>
      <c r="O437" s="7">
        <f t="shared" si="0"/>
        <v>2.8928571428571428</v>
      </c>
      <c r="P437" s="7">
        <f t="shared" si="0"/>
        <v>3.1428571428571428</v>
      </c>
      <c r="Q437" s="7">
        <f t="shared" si="0"/>
        <v>3.0357142857142856</v>
      </c>
      <c r="R437" s="7">
        <f t="shared" si="0"/>
        <v>3.0714285714285716</v>
      </c>
      <c r="S437" s="7">
        <f t="shared" si="0"/>
        <v>3.0357142857142856</v>
      </c>
      <c r="T437" s="7">
        <f t="shared" si="0"/>
        <v>2.6785714285714284</v>
      </c>
      <c r="U437" s="7"/>
      <c r="V437" s="7"/>
      <c r="W437" s="7"/>
      <c r="X437" s="7"/>
      <c r="Y437" s="7"/>
      <c r="Z437" s="7"/>
      <c r="AA437" s="7"/>
      <c r="AB437" s="7">
        <f t="shared" si="0"/>
        <v>3.5714285714285716</v>
      </c>
    </row>
  </sheetData>
  <autoFilter ref="A3:AB437"/>
  <mergeCells count="1">
    <mergeCell ref="A1:A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Sheet3</vt:lpstr>
      <vt:lpstr>만족도</vt:lpstr>
      <vt:lpstr>역량향상률-사전</vt:lpstr>
      <vt:lpstr>역량향상률-사후</vt:lpstr>
      <vt:lpstr>만족도!Print_Area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지혜</dc:creator>
  <cp:lastModifiedBy>User</cp:lastModifiedBy>
  <cp:lastPrinted>2023-10-13T04:00:17Z</cp:lastPrinted>
  <dcterms:created xsi:type="dcterms:W3CDTF">2015-09-21T05:56:14Z</dcterms:created>
  <dcterms:modified xsi:type="dcterms:W3CDTF">2026-08-05T08:15:10Z</dcterms:modified>
</cp:coreProperties>
</file>